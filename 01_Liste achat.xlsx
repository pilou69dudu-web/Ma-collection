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12B5A879-5E2D-45BF-9D40-89A843F7209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</sheets>
  <definedNames>
    <definedName name="_xlnm._FilterDatabase" localSheetId="0" hidden="1">Feuil1!$A$1:$F$734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36" i="1" l="1"/>
  <c r="I236" i="1"/>
  <c r="G237" i="1"/>
  <c r="I237" i="1"/>
  <c r="I45" i="1"/>
  <c r="I245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5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8" i="1"/>
  <c r="I238" i="1"/>
  <c r="G239" i="1"/>
  <c r="I239" i="1"/>
  <c r="G240" i="1"/>
  <c r="I240" i="1"/>
  <c r="G241" i="1"/>
  <c r="I241" i="1"/>
  <c r="G242" i="1"/>
  <c r="I242" i="1"/>
  <c r="G243" i="1"/>
  <c r="I243" i="1"/>
  <c r="G244" i="1"/>
  <c r="I244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9" i="1"/>
  <c r="N239" i="1"/>
  <c r="M240" i="1"/>
  <c r="N240" i="1"/>
  <c r="M241" i="1"/>
  <c r="N241" i="1"/>
  <c r="M242" i="1"/>
  <c r="N242" i="1"/>
  <c r="M243" i="1"/>
  <c r="N243" i="1"/>
  <c r="M244" i="1"/>
  <c r="N244" i="1"/>
  <c r="M246" i="1"/>
  <c r="N246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7" i="1"/>
  <c r="N287" i="1"/>
  <c r="M288" i="1"/>
  <c r="N288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2" i="1"/>
  <c r="N322" i="1"/>
  <c r="M323" i="1"/>
  <c r="N323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7" i="1"/>
  <c r="N397" i="1"/>
  <c r="M398" i="1"/>
  <c r="N398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3" i="1"/>
  <c r="N413" i="1"/>
  <c r="M414" i="1"/>
  <c r="N414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6" i="1"/>
  <c r="N426" i="1"/>
  <c r="M427" i="1"/>
  <c r="N427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7" i="1"/>
  <c r="N437" i="1"/>
  <c r="M438" i="1"/>
  <c r="N438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3" i="1"/>
  <c r="N463" i="1"/>
  <c r="M464" i="1"/>
  <c r="N464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79" i="1"/>
  <c r="N479" i="1"/>
  <c r="M480" i="1"/>
  <c r="N480" i="1"/>
  <c r="M482" i="1"/>
  <c r="N482" i="1"/>
  <c r="M483" i="1"/>
  <c r="N483" i="1"/>
  <c r="M484" i="1"/>
  <c r="N484" i="1"/>
  <c r="M485" i="1"/>
  <c r="N485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M511" i="1"/>
  <c r="N511" i="1"/>
  <c r="M512" i="1"/>
  <c r="N512" i="1"/>
  <c r="N3" i="1" l="1"/>
  <c r="M3" i="1"/>
  <c r="I3" i="1"/>
  <c r="J2" i="1" s="1"/>
  <c r="G3" i="1"/>
  <c r="H2" i="1" s="1"/>
  <c r="E734" i="1" l="1"/>
  <c r="L2" i="1" l="1"/>
</calcChain>
</file>

<file path=xl/sharedStrings.xml><?xml version="1.0" encoding="utf-8"?>
<sst xmlns="http://schemas.openxmlformats.org/spreadsheetml/2006/main" count="1226" uniqueCount="809">
  <si>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</si>
  <si>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</si>
  <si>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</si>
  <si>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</si>
  <si>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</si>
  <si>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</si>
  <si>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</si>
  <si>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</si>
  <si>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</si>
  <si>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</si>
  <si>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</si>
  <si>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</si>
  <si>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</si>
  <si>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</si>
  <si>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</si>
  <si>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</si>
  <si>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</si>
  <si>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</si>
  <si>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</si>
  <si>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</si>
  <si>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</si>
  <si>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</si>
  <si>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</si>
  <si>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</si>
  <si>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</si>
  <si>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</si>
  <si>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</si>
  <si>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</si>
  <si>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</si>
  <si>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</si>
  <si>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</si>
  <si>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</si>
  <si>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</si>
  <si>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</si>
  <si>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</si>
  <si>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</si>
  <si>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</si>
  <si>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</si>
  <si>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</si>
  <si>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</si>
  <si>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</si>
  <si>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</si>
  <si>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</si>
  <si>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</si>
  <si>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</si>
  <si>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</si>
  <si>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</si>
  <si>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</si>
  <si>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</si>
  <si>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</si>
  <si>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</si>
  <si>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</si>
  <si>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</si>
  <si>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</si>
  <si>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</si>
  <si>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</si>
  <si>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</si>
  <si>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</si>
  <si>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</si>
  <si>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</si>
  <si>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</si>
  <si>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</si>
  <si>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</si>
  <si>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</si>
  <si>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</si>
  <si>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</si>
  <si>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</si>
  <si>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</si>
  <si>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</si>
  <si>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</si>
  <si>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</si>
  <si>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</si>
  <si>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</si>
  <si>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</si>
  <si>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</si>
  <si>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</si>
  <si>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</si>
  <si>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</si>
  <si>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</si>
  <si>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</si>
  <si>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</si>
  <si>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</si>
  <si>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</si>
  <si>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</si>
  <si>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</si>
  <si>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</si>
  <si>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</si>
  <si>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</si>
  <si>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</si>
  <si>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</si>
  <si>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</si>
  <si>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</si>
  <si>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</si>
  <si>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</si>
  <si>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</si>
  <si>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</si>
  <si>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</si>
  <si>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</si>
  <si>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</si>
  <si>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</si>
  <si>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</si>
  <si>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</si>
  <si>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</si>
  <si>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</si>
  <si>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</si>
  <si>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</si>
  <si>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</si>
  <si>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</si>
  <si>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</si>
  <si>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</si>
  <si>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</si>
  <si>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</si>
  <si>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</si>
  <si>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</si>
  <si>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</si>
  <si>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</si>
  <si>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</si>
  <si>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</si>
  <si>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</si>
  <si>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</si>
  <si>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</si>
  <si>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</si>
  <si>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</si>
  <si>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</si>
  <si>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</si>
  <si>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</si>
  <si>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</si>
  <si>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</si>
  <si>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</si>
  <si>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</si>
  <si>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</si>
  <si>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</si>
  <si>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</si>
  <si>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</si>
  <si>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</si>
  <si>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</si>
  <si>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</si>
  <si>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</si>
  <si>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</si>
  <si>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</si>
  <si>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</si>
  <si>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</si>
  <si>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</si>
  <si>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</si>
  <si>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</si>
  <si>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</si>
  <si>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</si>
  <si>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</si>
  <si>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</si>
  <si>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</si>
  <si>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</si>
  <si>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</si>
  <si>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</si>
  <si>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</si>
  <si>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</si>
  <si>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</si>
  <si>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</si>
  <si>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</si>
  <si>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</si>
  <si>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</si>
  <si>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</si>
  <si>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</si>
  <si>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</si>
  <si>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</si>
  <si>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</si>
  <si>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</si>
  <si>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</si>
  <si>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</si>
  <si>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</si>
  <si>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</si>
  <si>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</si>
  <si>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</si>
  <si>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</si>
  <si>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</si>
  <si>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</si>
  <si>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</si>
  <si>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</si>
  <si>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</si>
  <si>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</si>
  <si>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</si>
  <si>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</si>
  <si>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</si>
  <si>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</si>
  <si>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</si>
  <si>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</si>
  <si>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</si>
  <si>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</si>
  <si>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</si>
  <si>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</si>
  <si>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</si>
  <si>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</si>
  <si>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</si>
  <si>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</si>
  <si>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</si>
  <si>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</si>
  <si>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</si>
  <si>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</si>
  <si>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</si>
  <si>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</si>
  <si>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</si>
  <si>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</si>
  <si>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</si>
  <si>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</si>
  <si>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</si>
  <si>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</si>
  <si>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</si>
  <si>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</si>
  <si>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</si>
  <si>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</si>
  <si>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</si>
  <si>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</si>
  <si>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</si>
  <si>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</si>
  <si>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</si>
  <si>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</si>
  <si>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</si>
  <si>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</si>
  <si>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</si>
  <si>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</si>
  <si>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</si>
  <si>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</si>
  <si>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</si>
  <si>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</si>
  <si>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</si>
  <si>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</si>
  <si>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</si>
  <si>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</si>
  <si>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</si>
  <si>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</si>
  <si>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</si>
  <si>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</si>
  <si>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</si>
  <si>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</si>
  <si>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</si>
  <si>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</si>
  <si>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</si>
  <si>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</si>
  <si>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</si>
  <si>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</si>
  <si>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</si>
  <si>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</si>
  <si>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</si>
  <si>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</si>
  <si>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</si>
  <si>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</si>
  <si>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</si>
  <si>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</si>
  <si>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</si>
  <si>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</si>
  <si>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</si>
  <si>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</si>
  <si>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</si>
  <si>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</si>
  <si>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</si>
  <si>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</si>
  <si>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</si>
  <si>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</si>
  <si>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</si>
  <si>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</si>
  <si>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</si>
  <si>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</si>
  <si>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</si>
  <si>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</si>
  <si>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</si>
  <si>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</si>
  <si>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</si>
  <si>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</si>
  <si>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</si>
  <si>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</si>
  <si>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</si>
  <si>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</si>
  <si>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</si>
  <si>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</si>
  <si>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</si>
  <si>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</si>
  <si>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</si>
  <si>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</si>
  <si>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</si>
  <si>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</si>
  <si>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</si>
  <si>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</si>
  <si>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</si>
  <si>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</si>
  <si>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</si>
  <si>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</si>
  <si>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</si>
  <si>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</si>
  <si>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</si>
  <si>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</si>
  <si>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</si>
  <si>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</si>
  <si>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</si>
  <si>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</si>
  <si>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</si>
  <si>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</si>
  <si>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</si>
  <si>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</si>
  <si>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</si>
  <si>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</si>
  <si>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</si>
  <si>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</si>
  <si>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</si>
  <si>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</si>
  <si>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</si>
  <si>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</si>
  <si>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</si>
  <si>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</si>
  <si>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</si>
  <si>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</si>
  <si>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</si>
  <si>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</si>
  <si>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</si>
  <si>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</si>
  <si>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</si>
  <si>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</si>
  <si>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</si>
  <si>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</si>
  <si>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</si>
  <si>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</si>
  <si>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</si>
  <si>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</si>
  <si>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</si>
  <si>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</si>
  <si>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</si>
  <si>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</si>
  <si>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</si>
  <si>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</si>
  <si>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</si>
  <si>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</si>
  <si>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</si>
  <si>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</si>
  <si>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</si>
  <si>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</si>
  <si>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</si>
  <si>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</si>
  <si>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</si>
  <si>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</si>
  <si>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</si>
  <si>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</si>
  <si>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</si>
  <si>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</si>
  <si>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</si>
  <si>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</si>
  <si>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</si>
  <si>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</si>
  <si>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</si>
  <si>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</si>
  <si>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</si>
  <si>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</si>
  <si>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</si>
  <si>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</si>
  <si>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</si>
  <si>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</si>
  <si>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</si>
  <si>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</si>
  <si>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</si>
  <si>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</si>
  <si>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</si>
  <si>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</si>
  <si>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</si>
  <si>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</si>
  <si>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</si>
  <si>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</si>
  <si>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</si>
  <si>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</si>
  <si>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</si>
  <si>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</si>
  <si>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</si>
  <si>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</si>
  <si>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</si>
  <si>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</si>
  <si>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</si>
  <si>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</si>
  <si>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</si>
  <si>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</si>
  <si>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</si>
  <si>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</si>
  <si>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</si>
  <si>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</si>
  <si>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</si>
  <si>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</si>
  <si>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</si>
  <si>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</si>
  <si>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</si>
  <si>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</si>
  <si>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</si>
  <si>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</si>
  <si>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</si>
  <si>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</si>
  <si>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</si>
  <si>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</si>
  <si>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</si>
  <si>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</si>
  <si>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</si>
  <si>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</si>
  <si>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</si>
  <si>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</si>
  <si>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</si>
  <si>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</si>
  <si>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</si>
  <si>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</si>
  <si>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</si>
  <si>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</si>
  <si>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</si>
  <si>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</si>
  <si>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</si>
  <si>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</si>
  <si>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</si>
  <si>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</si>
  <si>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</si>
  <si>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</si>
  <si>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</si>
  <si>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</si>
  <si>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</si>
  <si>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</si>
  <si>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</si>
  <si>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</si>
  <si>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</si>
  <si>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</si>
  <si>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</si>
  <si>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</si>
  <si>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</si>
  <si>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</si>
  <si>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</si>
  <si>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</si>
  <si>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</si>
  <si>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</si>
  <si>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</si>
  <si>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</si>
  <si>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</si>
  <si>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</si>
  <si>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</si>
  <si>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</si>
  <si>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</si>
  <si>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</si>
  <si>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</si>
  <si>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</si>
  <si>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</si>
  <si>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</si>
  <si>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</si>
  <si>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</si>
  <si>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</si>
  <si>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</si>
  <si>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</si>
  <si>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</si>
  <si>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</si>
  <si>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</si>
  <si>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</si>
  <si>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</si>
  <si>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</si>
  <si>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</si>
  <si>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</si>
  <si>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</si>
  <si>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</si>
  <si>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</si>
  <si>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</si>
  <si>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</si>
  <si>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</si>
  <si>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</si>
  <si>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</si>
  <si>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</si>
  <si>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</si>
  <si>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</si>
  <si>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</si>
  <si>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</si>
  <si>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</si>
  <si>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</si>
  <si>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</si>
  <si>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</si>
  <si>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</si>
  <si>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</si>
  <si>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</si>
  <si>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</si>
  <si>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</si>
  <si>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</si>
  <si>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</si>
  <si>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</si>
  <si>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</si>
  <si>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</si>
  <si>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</si>
  <si>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</si>
  <si>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</si>
  <si>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</si>
  <si>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</si>
  <si>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</si>
  <si>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</si>
  <si>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</si>
  <si>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Mass Production - Come And Get Some Of This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</si>
  <si>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</si>
  <si>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</si>
  <si>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</si>
  <si>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</si>
  <si>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</si>
  <si>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</si>
  <si>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</si>
  <si>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</si>
  <si>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</si>
  <si>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</si>
  <si>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</si>
  <si>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</si>
  <si>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</si>
  <si>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</si>
  <si>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</si>
  <si>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</si>
  <si>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</si>
  <si>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</si>
  <si>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</si>
  <si>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</si>
  <si>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</si>
  <si>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</si>
  <si>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</si>
  <si>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</si>
  <si>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</si>
  <si>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</si>
  <si>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</si>
  <si>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</si>
  <si>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</si>
  <si>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</si>
  <si>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</si>
  <si>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</si>
  <si>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</si>
  <si>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</si>
  <si>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</si>
  <si>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</si>
  <si>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</si>
  <si>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</si>
  <si>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</si>
  <si>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</si>
  <si>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</si>
  <si>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</si>
  <si>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</si>
  <si>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</si>
  <si>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</si>
  <si>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</si>
  <si>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</si>
  <si>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</si>
  <si>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</si>
  <si>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</si>
  <si>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</si>
  <si>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</si>
  <si>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</si>
  <si>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</si>
  <si>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</si>
  <si>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</si>
  <si>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</si>
  <si>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</si>
  <si>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</si>
  <si>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</si>
  <si>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</si>
  <si>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</si>
  <si>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</si>
  <si>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</si>
  <si>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</si>
  <si>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</si>
  <si>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</si>
  <si>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</si>
  <si>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</si>
  <si>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</si>
  <si>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</si>
  <si>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</si>
  <si>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</si>
  <si>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</si>
  <si>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</si>
  <si>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</si>
  <si>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</si>
  <si>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</si>
  <si>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</si>
  <si>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</si>
  <si>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</si>
  <si>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</si>
  <si>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</si>
  <si>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</si>
  <si>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</si>
  <si>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</si>
  <si>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</si>
  <si>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</si>
  <si>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</si>
  <si>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</si>
  <si>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</si>
  <si>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</si>
  <si>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</si>
  <si>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</si>
  <si>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</si>
  <si>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</si>
  <si>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</si>
  <si>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</si>
  <si>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</si>
  <si>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</si>
  <si>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</si>
  <si>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</si>
  <si>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</si>
  <si>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</si>
  <si>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</si>
  <si>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</si>
  <si>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</si>
  <si>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</si>
  <si>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</si>
  <si>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</si>
  <si>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</si>
  <si>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</si>
  <si>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</si>
  <si>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</si>
  <si>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</si>
  <si>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</si>
  <si>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</si>
  <si>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</si>
  <si>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</si>
  <si>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</si>
  <si>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</si>
  <si>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</si>
  <si>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</si>
  <si>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</si>
  <si>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</si>
  <si>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</si>
  <si>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</si>
  <si>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</si>
  <si>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</si>
  <si>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</si>
  <si>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</si>
  <si>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</si>
  <si>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</si>
  <si>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</si>
  <si>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</si>
  <si>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</si>
  <si>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</si>
  <si>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</si>
  <si>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</si>
  <si>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</si>
  <si>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</si>
  <si>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</si>
  <si>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</si>
  <si>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</si>
  <si>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</si>
  <si>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</si>
  <si>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</si>
  <si>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</si>
  <si>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</si>
  <si>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</si>
  <si>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</si>
  <si>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</si>
  <si>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</si>
  <si>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</si>
  <si>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</si>
  <si>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</si>
  <si>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</si>
  <si>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</si>
  <si>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</si>
  <si>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</si>
  <si>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</si>
  <si>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</si>
  <si>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</si>
  <si>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</si>
  <si>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</si>
  <si>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</si>
  <si>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</si>
  <si>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</si>
  <si>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</si>
  <si>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</si>
  <si>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</si>
  <si>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</si>
  <si>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</si>
  <si>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</si>
  <si>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</si>
  <si>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</si>
  <si>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</si>
  <si>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</si>
  <si>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</si>
  <si>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</si>
  <si>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</si>
  <si>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</si>
  <si>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</si>
  <si>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</si>
  <si>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</si>
  <si>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</si>
  <si>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</si>
  <si>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</si>
  <si>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</si>
  <si>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</si>
  <si>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</si>
  <si>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</si>
  <si>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</si>
  <si>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</si>
  <si>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</si>
  <si>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</si>
  <si>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</si>
  <si>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</si>
  <si>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</si>
  <si>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</si>
  <si>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</si>
  <si>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</si>
  <si>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</si>
  <si>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</si>
  <si>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</si>
  <si>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</si>
  <si>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</si>
  <si>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</si>
  <si>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</si>
  <si>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</si>
  <si>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</si>
  <si>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</si>
  <si>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</si>
  <si>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</si>
  <si>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</si>
  <si>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</si>
  <si>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</si>
  <si>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</si>
  <si>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</si>
  <si>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</si>
  <si>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</si>
  <si>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</si>
  <si>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</si>
  <si>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</si>
  <si>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</si>
  <si>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</si>
  <si>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</si>
  <si>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</si>
  <si>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</si>
  <si>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</si>
  <si>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</si>
  <si>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</si>
  <si>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</si>
  <si>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</si>
  <si>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</si>
  <si>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</si>
  <si>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</si>
  <si>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</si>
  <si>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</si>
  <si>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</si>
  <si>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</si>
  <si>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</si>
  <si>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</si>
  <si>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</si>
  <si>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</si>
  <si>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</si>
  <si>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</si>
  <si>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</si>
  <si>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</si>
  <si>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</si>
  <si>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</si>
  <si>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</si>
  <si>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</si>
  <si>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</si>
  <si>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</si>
  <si>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</si>
  <si>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</si>
  <si>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</si>
  <si>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</si>
  <si>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</si>
  <si>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</si>
  <si>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</si>
  <si>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</si>
  <si>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</si>
  <si>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</si>
  <si>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</si>
  <si>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</si>
  <si>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</si>
  <si>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</si>
  <si>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</si>
  <si>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</si>
  <si>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</si>
  <si>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</si>
  <si>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</si>
  <si>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</si>
  <si>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</si>
  <si>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</si>
  <si>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</si>
  <si>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</si>
  <si>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</si>
  <si>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</si>
  <si>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</si>
  <si>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</si>
  <si>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</si>
  <si>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</si>
  <si>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</si>
  <si>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</si>
  <si>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</si>
  <si>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</si>
  <si>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</si>
  <si>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</si>
  <si>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</si>
  <si>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</si>
  <si>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</si>
  <si>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</si>
  <si>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</si>
  <si>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</si>
  <si>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</si>
  <si>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</si>
  <si>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</si>
  <si>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</si>
  <si>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</si>
  <si>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</si>
  <si>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</si>
  <si>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</si>
  <si>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</si>
  <si>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</si>
  <si>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</si>
  <si>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</si>
  <si>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</si>
  <si>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</si>
  <si>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</si>
  <si>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</si>
  <si>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</si>
  <si>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</si>
  <si>
    <t>https://www.discogs.com/fr/release/1417628-Bar-Kays-Flying-High-On-Your-Love</t>
  </si>
  <si>
    <t>I-Level - Minefield</t>
  </si>
  <si>
    <t>https://www.discogs.com/fr/release/53055-I-Level-Minefield</t>
  </si>
  <si>
    <t>I-Level - Give Me</t>
  </si>
  <si>
    <t>https://www.discogs.com/fr/release/1739214-I-Level-Give-Me</t>
  </si>
  <si>
    <t>https://www.discogs.com/fr/release/2177186-Surface-Lately/image/SW1hZ2U6OTk4MTU5NTk=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</si>
</sst>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9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30865281-Michael-Wycoff-Looking-Up-To-You-A-Mike-Maurro-Remix" TargetMode="External"/><Relationship Id="rId159" Type="http://schemas.openxmlformats.org/officeDocument/2006/relationships/hyperlink" Target="https://www.discogs.com/release/5264500-Risse-Give-It-Up-Shake-It-Down" TargetMode="External"/><Relationship Id="rId170" Type="http://schemas.openxmlformats.org/officeDocument/2006/relationships/hyperlink" Target="https://www.discogs.com/release/260729-Shalamar-Make-That-Move" TargetMode="External"/><Relationship Id="rId191" Type="http://schemas.openxmlformats.org/officeDocument/2006/relationships/hyperlink" Target="https://www.discogs.com/release/225189-The-Paul-Simpson-Connection-Treat-Her-Sweeter" TargetMode="External"/><Relationship Id="rId205" Type="http://schemas.openxmlformats.org/officeDocument/2006/relationships/hyperlink" Target="https://www.discogs.com/release/1807899-WQBC-Love-Me-Anyway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389502-One-Way-Shine-On-Me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134347-Rocket-Come-Together" TargetMode="External"/><Relationship Id="rId181" Type="http://schemas.openxmlformats.org/officeDocument/2006/relationships/hyperlink" Target="https://www.discogs.com/release/1757136-Starpoint-Keep-On-It" TargetMode="External"/><Relationship Id="rId216" Type="http://schemas.openxmlformats.org/officeDocument/2006/relationships/hyperlink" Target="https://www.discogs.com/fr/release/2177186-Surface-Lately/image/SW1hZ2U6OTk4MTU5NTk=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2326456-Michel-Sardou-%C3%8Atre-Une-Femme-97-Femme-Des-Ann%C3%A9es-80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225189-The-Paul-Simpson-Connection-Treat-Her-Sweeter" TargetMode="External"/><Relationship Id="rId171" Type="http://schemas.openxmlformats.org/officeDocument/2006/relationships/hyperlink" Target="https://www.discogs.com/release/167451-Shalamar-The-Second-Time-Around" TargetMode="External"/><Relationship Id="rId192" Type="http://schemas.openxmlformats.org/officeDocument/2006/relationships/hyperlink" Target="https://www.discogs.com/release/805588-The-Romantics-Talking-In-Your-Sleep-Special-Remix" TargetMode="External"/><Relationship Id="rId206" Type="http://schemas.openxmlformats.org/officeDocument/2006/relationships/hyperlink" Target="https://www.discogs.com/release/837849-Ze-Brass-Feels-So-Good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master/130344-Luther-Vandross-Never-Too-Much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10322140-Michel-Sardou-Les-Lacs-Du-Connemara" TargetMode="External"/><Relationship Id="rId161" Type="http://schemas.openxmlformats.org/officeDocument/2006/relationships/hyperlink" Target="https://www.discogs.com/release/1045298-Roger-Do-It-Roger-Blue-A-Tribute-To-The-Blues" TargetMode="External"/><Relationship Id="rId182" Type="http://schemas.openxmlformats.org/officeDocument/2006/relationships/hyperlink" Target="https://www.discogs.com/release/1055702-Status-Quo-In-The-Army-Now" TargetMode="External"/><Relationship Id="rId217" Type="http://schemas.openxmlformats.org/officeDocument/2006/relationships/printerSettings" Target="../printerSettings/printerSettings1.bin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2261036-The-Manhattans-Forever-By-Your-Side" TargetMode="External"/><Relationship Id="rId151" Type="http://schemas.openxmlformats.org/officeDocument/2006/relationships/hyperlink" Target="https://www.discogs.com/release/5510511-Pharrell-Williams-Happy" TargetMode="External"/><Relationship Id="rId172" Type="http://schemas.openxmlformats.org/officeDocument/2006/relationships/hyperlink" Target="https://www.discogs.com/release/81993-Sharon-Redd-Never-Give-You-Up-Beat-The-Street" TargetMode="External"/><Relationship Id="rId193" Type="http://schemas.openxmlformats.org/officeDocument/2006/relationships/hyperlink" Target="https://www.discogs.com/release/539624-Ronnie-McNeir-The-Ronnie-McNeir-Experience" TargetMode="External"/><Relationship Id="rId207" Type="http://schemas.openxmlformats.org/officeDocument/2006/relationships/hyperlink" Target="https://www.discogs.com/release/2064605-Zena-Dejonay-Ive-Got-To-Find-A-Way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568053-Midnight-Star-Wet-My-Whistle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1829775-Ron-Banks-Truly-Bad" TargetMode="External"/><Relationship Id="rId183" Type="http://schemas.openxmlformats.org/officeDocument/2006/relationships/hyperlink" Target="https://www.discogs.com/release/900655-Supertramp-Breakfast-In-America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1148537-Marc-Lavoine-Le-Parking-Des-Anges" TargetMode="External"/><Relationship Id="rId152" Type="http://schemas.openxmlformats.org/officeDocument/2006/relationships/hyperlink" Target="https://www.discogs.com/release/1122088-Phyllis-Hyman-Under-Your-Spell" TargetMode="External"/><Relationship Id="rId173" Type="http://schemas.openxmlformats.org/officeDocument/2006/relationships/hyperlink" Target="https://www.discogs.com/release/241523-Sharon-Redd-You-Got-My-Love-Can-You-Handle-It" TargetMode="External"/><Relationship Id="rId194" Type="http://schemas.openxmlformats.org/officeDocument/2006/relationships/hyperlink" Target="https://www.discogs.com/release/182083-The-SOS-Band-Just-Be-Good-To-Me" TargetMode="External"/><Relationship Id="rId208" Type="http://schemas.openxmlformats.org/officeDocument/2006/relationships/hyperlink" Target="https://www.discogs.com/release/2106174-Zinga-Zinga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0580174-Neddy-Smith-Give-It-Up" TargetMode="External"/><Relationship Id="rId168" Type="http://schemas.openxmlformats.org/officeDocument/2006/relationships/hyperlink" Target="https://www.discogs.com/release/415823-Second-Image-Cant-Keep-Holding-On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999391-Miguel-Campbell-Back-In-Flight-School" TargetMode="External"/><Relationship Id="rId163" Type="http://schemas.openxmlformats.org/officeDocument/2006/relationships/hyperlink" Target="https://www.discogs.com/release/3603081-Ron-Richardson-Ooh-Wee-Babe" TargetMode="External"/><Relationship Id="rId184" Type="http://schemas.openxmlformats.org/officeDocument/2006/relationships/hyperlink" Target="https://www.discogs.com/release/103533-Surface-Happy-Extended-Version" TargetMode="External"/><Relationship Id="rId189" Type="http://schemas.openxmlformats.org/officeDocument/2006/relationships/hyperlink" Target="https://www.discogs.com/release/1142111-Oattes-Van-Schaik-Love-Attaxx-Extended-Remix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hyperlink" Target="https://www.discogs.com/fr/release/53055-I-Level-Minefield" TargetMode="External"/><Relationship Id="rId25" Type="http://schemas.openxmlformats.org/officeDocument/2006/relationships/hyperlink" Target="https://www.discogs.com/fr/release/1417628-Bar-Kays-Flying-High-On-Your-Love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2632930-Merge-Take-It-To-The-Top-Volcanic-Voodoo" TargetMode="External"/><Relationship Id="rId158" Type="http://schemas.openxmlformats.org/officeDocument/2006/relationships/hyperlink" Target="https://www.discogs.com/release/1510005-Rick-Smith-We-Should-Be-Lovers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469977-Mark-Fisher-Featuring-Dotty-Green-Love-Situation" TargetMode="External"/><Relationship Id="rId153" Type="http://schemas.openxmlformats.org/officeDocument/2006/relationships/hyperlink" Target="https://www.discogs.com/release/2161010-Queen-Another-One-Bites-The-Dust" TargetMode="External"/><Relationship Id="rId174" Type="http://schemas.openxmlformats.org/officeDocument/2006/relationships/hyperlink" Target="https://www.discogs.com/release/788629-Shot-Main-Thing" TargetMode="External"/><Relationship Id="rId179" Type="http://schemas.openxmlformats.org/officeDocument/2006/relationships/hyperlink" Target="https://www.discogs.com/release/2721006-Smith-Whitaker-Company-Dont-Play-No-Games-With-My-Love" TargetMode="External"/><Relationship Id="rId195" Type="http://schemas.openxmlformats.org/officeDocument/2006/relationships/hyperlink" Target="https://www.discogs.com/release/2045627-Sylvers-Come-Back-Lover-Come-Back" TargetMode="External"/><Relationship Id="rId209" Type="http://schemas.openxmlformats.org/officeDocument/2006/relationships/hyperlink" Target="https://www.discogs.com/release/182273-The-Flirts-Passion" TargetMode="External"/><Relationship Id="rId190" Type="http://schemas.openxmlformats.org/officeDocument/2006/relationships/hyperlink" Target="https://www.discogs.com/release/968099-Orient-Express-Shine-On" TargetMode="External"/><Relationship Id="rId204" Type="http://schemas.openxmlformats.org/officeDocument/2006/relationships/hyperlink" Target="https://www.discogs.com/release/1228756-Del-Richardson-Soul-On-Fire-New-Vocal-Disco-Version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3116452-Miguel-Campbell-Baby-I-Got-It" TargetMode="External"/><Relationship Id="rId148" Type="http://schemas.openxmlformats.org/officeDocument/2006/relationships/hyperlink" Target="https://www.discogs.com/release/1826184-Norma-Jean-Wright-Love-Attack" TargetMode="External"/><Relationship Id="rId164" Type="http://schemas.openxmlformats.org/officeDocument/2006/relationships/hyperlink" Target="https://www.discogs.com/release/804510-Rose-Laurens-Africa" TargetMode="External"/><Relationship Id="rId169" Type="http://schemas.openxmlformats.org/officeDocument/2006/relationships/hyperlink" Target="https://www.discogs.com/release/427126-Shalamar-Full-Of-Fire-Lets-Find-Time-For-Love" TargetMode="External"/><Relationship Id="rId185" Type="http://schemas.openxmlformats.org/officeDocument/2006/relationships/hyperlink" Target="https://www.discogs.com/release/610170-Sweet-Ecstasy-Pull-Our-Love-Together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4658101-Smokey-Robinson-Just-To-See-Her" TargetMode="External"/><Relationship Id="rId210" Type="http://schemas.openxmlformats.org/officeDocument/2006/relationships/hyperlink" Target="https://www.discogs.com/release/6961179-Bee-Gees-You-Should-Be-Dancing-Remix-" TargetMode="External"/><Relationship Id="rId215" Type="http://schemas.openxmlformats.org/officeDocument/2006/relationships/hyperlink" Target="https://www.discogs.com/fr/release/1739214-I-Level-Give-Me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214950-Mass-Production-Come-And-Get-Some-Of-This" TargetMode="External"/><Relationship Id="rId154" Type="http://schemas.openxmlformats.org/officeDocument/2006/relationships/hyperlink" Target="https://www.discogs.com/release/470521-Rainbow-Team-Bite-The-Apple-Hope-He-Wants" TargetMode="External"/><Relationship Id="rId175" Type="http://schemas.openxmlformats.org/officeDocument/2006/relationships/hyperlink" Target="https://www.discogs.com/release/924166-Silent-Circle-Touch-In-The-Night-Crash-Version" TargetMode="External"/><Relationship Id="rId196" Type="http://schemas.openxmlformats.org/officeDocument/2006/relationships/hyperlink" Target="https://www.discogs.com/release/1950253-The-Time-Get-It-Up" TargetMode="External"/><Relationship Id="rId200" Type="http://schemas.openxmlformats.org/officeDocument/2006/relationships/hyperlink" Target="https://www.discogs.com/release/539552-Toto-Georgy-Porgy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245931-Mikki-Featuring-Starz-Dance-Lover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294098-Rose-Royce-Best-Love" TargetMode="External"/><Relationship Id="rId186" Type="http://schemas.openxmlformats.org/officeDocument/2006/relationships/hyperlink" Target="https://www.discogs.com/release/9309134-Curiosity-I-Need-Your-Lovin" TargetMode="External"/><Relationship Id="rId211" Type="http://schemas.openxmlformats.org/officeDocument/2006/relationships/hyperlink" Target="https://www.discogs.com/release/2146190-Breakbot-Baby-Im-Yours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3188747-McFadden-Whitehead-One-More-Time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3114099-Ray-Parker-Jr-And-Raydio-A-Woman-Needs-Love-Just-Like-You-Do-Still-In-The-Groove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63-The-Whispers-I-Can-Make-It-Better" TargetMode="External"/><Relationship Id="rId201" Type="http://schemas.openxmlformats.org/officeDocument/2006/relationships/hyperlink" Target="https://www.discogs.com/release/5642912-UK-Players-Loves-Gonna-Get-You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1011625-Mikki-Itching-For-Love" TargetMode="External"/><Relationship Id="rId166" Type="http://schemas.openxmlformats.org/officeDocument/2006/relationships/hyperlink" Target="https://www.discogs.com/release/1060592-Sandra-In-The-Heat-Of-The-Night" TargetMode="External"/><Relationship Id="rId187" Type="http://schemas.openxmlformats.org/officeDocument/2006/relationships/hyperlink" Target="https://www.discogs.com/release/3259266-Kenny-Claiborne-And-The-Armed-Gang-The-Armed-Gang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4314139-Bruno-Mars-Unorthodox-Jukebox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404478-Melba-Moore-Mind-Up-Tonight-Special-Remix" TargetMode="External"/><Relationship Id="rId156" Type="http://schemas.openxmlformats.org/officeDocument/2006/relationships/hyperlink" Target="https://www.discogs.com/release/1960933-Raydio-Rock-On" TargetMode="External"/><Relationship Id="rId177" Type="http://schemas.openxmlformats.org/officeDocument/2006/relationships/hyperlink" Target="https://www.discogs.com/release/800559-Silver-Convention-Get-Up-And-Boogie-Fly-Robin-Fly" TargetMode="External"/><Relationship Id="rId198" Type="http://schemas.openxmlformats.org/officeDocument/2006/relationships/hyperlink" Target="https://www.discogs.com/release/1025159-The-Whispers-This-Kind-Of-Lovin" TargetMode="External"/><Relationship Id="rId202" Type="http://schemas.openxmlformats.org/officeDocument/2006/relationships/hyperlink" Target="https://www.discogs.com/release/4624756-Unity-Heat-Your-Body-Up-Special-Remixed-Extended-Version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5797951-Myron-E-Do-It-Do-It-Disco" TargetMode="External"/><Relationship Id="rId167" Type="http://schemas.openxmlformats.org/officeDocument/2006/relationships/hyperlink" Target="https://www.discogs.com/release/1530038-Sapphire-Rock-Me-Slowly-Make-Love-To-The-Music" TargetMode="External"/><Relationship Id="rId188" Type="http://schemas.openxmlformats.org/officeDocument/2006/relationships/hyperlink" Target="https://www.discogs.com/release/37121607-The-Dukes-The-Dukes-Bugatti-Musker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release/14543124-The-Chocolate-Buttermilk-Band-Aint-No-Way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6032524-Melba-Moore-Take-My-Love-" TargetMode="External"/><Relationship Id="rId157" Type="http://schemas.openxmlformats.org/officeDocument/2006/relationships/hyperlink" Target="https://www.discogs.com/release/70007-Regrets-Je-Ne-Veux-Pas-Rentrer-Chez-Moi-Seule" TargetMode="External"/><Relationship Id="rId178" Type="http://schemas.openxmlformats.org/officeDocument/2006/relationships/hyperlink" Target="https://www.discogs.com/release/206333-Sister-Sledge-Thinking-Of-You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1151984-Thelma-Houston-I-Guess-It-Must-Be-Love" TargetMode="External"/><Relationship Id="rId203" Type="http://schemas.openxmlformats.org/officeDocument/2006/relationships/hyperlink" Target="https://www.discogs.com/release/225190-Vikki-Love-Stop-Playing-On-Me" TargetMode="External"/><Relationship Id="rId19" Type="http://schemas.openxmlformats.org/officeDocument/2006/relationships/hyperlink" Target="https://www.discogs.com/release/115996-Atlantic-Starr-Circ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4"/>
  <sheetViews>
    <sheetView tabSelected="1" zoomScale="120" zoomScaleNormal="120" workbookViewId="0">
      <pane ySplit="2" topLeftCell="A108" activePane="bottomLeft" state="frozen"/>
      <selection pane="bottomLeft" activeCell="F430" sqref="F430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7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79" t="s">
        <v>0</v>
      </c>
      <c r="B1" s="87" t="s">
        <v>1</v>
      </c>
      <c r="C1" s="87" t="s">
        <v>3</v>
      </c>
      <c r="D1" s="85" t="s">
        <v>304</v>
      </c>
      <c r="E1" s="83" t="s">
        <v>4</v>
      </c>
      <c r="F1" s="81" t="s">
        <v>547</v>
      </c>
      <c r="G1" s="76" t="s">
        <v>266</v>
      </c>
      <c r="H1" s="7" t="s">
        <v>266</v>
      </c>
      <c r="I1" s="73"/>
      <c r="J1" s="8" t="s">
        <v>5</v>
      </c>
      <c r="K1" s="16"/>
      <c r="L1" s="9" t="s">
        <v>267</v>
      </c>
    </row>
    <row r="2" spans="1:14" ht="15.75" thickBot="1" x14ac:dyDescent="0.3">
      <c r="A2" s="80"/>
      <c r="B2" s="88"/>
      <c r="C2" s="88"/>
      <c r="D2" s="86"/>
      <c r="E2" s="84"/>
      <c r="F2" s="82"/>
      <c r="G2" s="77"/>
      <c r="H2" s="10">
        <f>SUM(G3:G562)</f>
        <v>506</v>
      </c>
      <c r="I2" s="74"/>
      <c r="J2" s="11">
        <f>SUM(I3:I562)</f>
        <v>301</v>
      </c>
      <c r="K2" s="17"/>
      <c r="L2" s="12">
        <f>H2-J2</f>
        <v>205</v>
      </c>
    </row>
    <row r="3" spans="1:14" x14ac:dyDescent="0.25">
      <c r="A3" s="2" t="s">
        <v>394</v>
      </c>
      <c r="B3" s="21"/>
      <c r="C3" s="3"/>
      <c r="D3" s="14" t="s">
        <v>559</v>
      </c>
      <c r="E3" s="31"/>
      <c r="F3" s="45" t="s">
        <v>558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3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3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8" t="s">
        <v>521</v>
      </c>
      <c r="B6" s="59"/>
      <c r="C6" s="59"/>
      <c r="D6" s="61" t="s">
        <v>430</v>
      </c>
      <c r="E6" s="62">
        <v>22</v>
      </c>
      <c r="F6" s="69" t="s">
        <v>548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3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3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517</v>
      </c>
      <c r="E9" s="30">
        <v>15</v>
      </c>
      <c r="F9" s="43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8" t="s">
        <v>522</v>
      </c>
      <c r="B10" s="59" t="s">
        <v>520</v>
      </c>
      <c r="C10" s="60"/>
      <c r="D10" s="61" t="s">
        <v>430</v>
      </c>
      <c r="E10" s="62">
        <v>9</v>
      </c>
      <c r="F10" s="69" t="s">
        <v>549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520</v>
      </c>
      <c r="C11" s="3"/>
      <c r="D11" s="14"/>
      <c r="E11" s="31"/>
      <c r="F11" s="45" t="s">
        <v>560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5" t="s">
        <v>561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5" t="s">
        <v>562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503</v>
      </c>
      <c r="B14" s="21"/>
      <c r="C14" s="3"/>
      <c r="D14" s="14" t="s">
        <v>564</v>
      </c>
      <c r="E14" s="31"/>
      <c r="F14" s="45" t="s">
        <v>563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5" t="s">
        <v>563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5" t="s">
        <v>565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3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3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3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3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3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566</v>
      </c>
      <c r="E22" s="30"/>
      <c r="F22" s="43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5" t="s">
        <v>567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6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569</v>
      </c>
      <c r="E25" s="30"/>
      <c r="F25" s="46" t="s">
        <v>568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5" t="s">
        <v>570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3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5" t="s">
        <v>571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3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3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5" t="s">
        <v>572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3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3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3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574</v>
      </c>
      <c r="E35" s="31"/>
      <c r="F35" s="45" t="s">
        <v>573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3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3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576</v>
      </c>
      <c r="B38" s="21"/>
      <c r="C38" s="3"/>
      <c r="D38" s="14" t="s">
        <v>430</v>
      </c>
      <c r="E38" s="31">
        <v>8</v>
      </c>
      <c r="F38" s="45" t="s">
        <v>575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3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6" t="s">
        <v>550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525</v>
      </c>
      <c r="B41" s="1"/>
      <c r="C41" s="5" t="s">
        <v>5</v>
      </c>
      <c r="D41" s="13" t="s">
        <v>524</v>
      </c>
      <c r="E41" s="30">
        <v>15</v>
      </c>
      <c r="F41" s="43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5" t="s">
        <v>577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5" t="s">
        <v>803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494</v>
      </c>
      <c r="E44" s="30">
        <v>6.73</v>
      </c>
      <c r="F44" s="43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6" t="s">
        <v>796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3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5" t="s">
        <v>578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552</v>
      </c>
      <c r="B48" s="1"/>
      <c r="C48" s="5" t="s">
        <v>5</v>
      </c>
      <c r="D48" s="13" t="s">
        <v>430</v>
      </c>
      <c r="E48" s="30">
        <v>13.5</v>
      </c>
      <c r="F48" s="46" t="s">
        <v>551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536</v>
      </c>
      <c r="B49" s="1"/>
      <c r="C49" s="5" t="s">
        <v>5</v>
      </c>
      <c r="D49" s="13" t="s">
        <v>430</v>
      </c>
      <c r="E49" s="30">
        <v>12</v>
      </c>
      <c r="F49" s="46" t="s">
        <v>553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3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3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3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5" t="s">
        <v>579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581</v>
      </c>
      <c r="B54" s="21"/>
      <c r="C54" s="3"/>
      <c r="D54" s="14" t="s">
        <v>580</v>
      </c>
      <c r="E54" s="31"/>
      <c r="F54" s="45" t="s">
        <v>582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3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3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3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3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3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5" t="s">
        <v>583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3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3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798</v>
      </c>
      <c r="B63" s="21"/>
      <c r="C63" s="3"/>
      <c r="D63" s="14"/>
      <c r="E63" s="31"/>
      <c r="F63" s="45" t="s">
        <v>797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3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800</v>
      </c>
      <c r="E65" s="31"/>
      <c r="F65" s="45" t="s">
        <v>799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586</v>
      </c>
      <c r="B66" s="21"/>
      <c r="C66" s="3"/>
      <c r="D66" s="14" t="s">
        <v>585</v>
      </c>
      <c r="E66" s="31"/>
      <c r="F66" s="45" t="s">
        <v>584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5" t="s">
        <v>587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3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494</v>
      </c>
      <c r="E69" s="30">
        <v>17.690000000000001</v>
      </c>
      <c r="F69" s="43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3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3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502</v>
      </c>
      <c r="B72" s="21"/>
      <c r="C72" s="3"/>
      <c r="D72" s="14"/>
      <c r="E72" s="31"/>
      <c r="F72" s="45" t="s">
        <v>588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589</v>
      </c>
      <c r="B73" s="21"/>
      <c r="C73" s="3"/>
      <c r="D73" s="14"/>
      <c r="E73" s="31"/>
      <c r="F73" s="45" t="s">
        <v>590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5" t="s">
        <v>591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5" t="s">
        <v>592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3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3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3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5" t="s">
        <v>593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3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3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537</v>
      </c>
      <c r="B82" s="21"/>
      <c r="C82" s="3"/>
      <c r="D82" s="14"/>
      <c r="E82" s="31"/>
      <c r="F82" s="45" t="s">
        <v>594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5" t="s">
        <v>595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3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531</v>
      </c>
      <c r="E85" s="30">
        <v>10</v>
      </c>
      <c r="F85" s="43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6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597</v>
      </c>
      <c r="B87" s="21"/>
      <c r="C87" s="3"/>
      <c r="D87" s="14" t="s">
        <v>598</v>
      </c>
      <c r="E87" s="31"/>
      <c r="F87" s="45" t="s">
        <v>599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5" t="s">
        <v>596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5" t="s">
        <v>600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5" t="s">
        <v>601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5" t="s">
        <v>602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603</v>
      </c>
      <c r="E92" s="31"/>
      <c r="F92" s="45" t="s">
        <v>801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6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493</v>
      </c>
      <c r="B94" s="1"/>
      <c r="C94" s="5" t="s">
        <v>5</v>
      </c>
      <c r="D94" s="13" t="s">
        <v>494</v>
      </c>
      <c r="E94" s="30">
        <v>20.74</v>
      </c>
      <c r="F94" s="43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3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3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3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3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3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3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8" t="s">
        <v>55</v>
      </c>
      <c r="B101" s="59"/>
      <c r="C101" s="60"/>
      <c r="D101" s="61" t="s">
        <v>430</v>
      </c>
      <c r="E101" s="62">
        <v>15</v>
      </c>
      <c r="F101" s="69" t="s">
        <v>554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541</v>
      </c>
      <c r="B102" s="25"/>
      <c r="C102" s="35"/>
      <c r="D102" s="36"/>
      <c r="E102" s="37"/>
      <c r="F102" s="70" t="s">
        <v>604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5" t="s">
        <v>605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3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5" t="s">
        <v>606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5" t="s">
        <v>607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5" t="s">
        <v>608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524</v>
      </c>
      <c r="E108" s="30">
        <v>20</v>
      </c>
      <c r="F108" s="43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5" t="s">
        <v>609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3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5" t="s">
        <v>610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5" t="s">
        <v>611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3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524</v>
      </c>
      <c r="E114" s="30">
        <v>15</v>
      </c>
      <c r="F114" s="43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3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5" t="s">
        <v>613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495</v>
      </c>
      <c r="E117" s="30">
        <v>7.63</v>
      </c>
      <c r="F117" s="43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3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6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5" t="s">
        <v>612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3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491</v>
      </c>
      <c r="B122" s="21"/>
      <c r="C122" s="3"/>
      <c r="D122" s="14"/>
      <c r="E122" s="31"/>
      <c r="F122" s="45" t="s">
        <v>614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494</v>
      </c>
      <c r="E123" s="30">
        <v>17.54</v>
      </c>
      <c r="F123" s="43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534</v>
      </c>
      <c r="B124" s="27" t="s">
        <v>523</v>
      </c>
      <c r="C124" s="28"/>
      <c r="D124" s="29" t="s">
        <v>430</v>
      </c>
      <c r="E124" s="32">
        <v>39</v>
      </c>
      <c r="F124" s="71" t="s">
        <v>616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5" t="s">
        <v>615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523</v>
      </c>
      <c r="C126" s="28"/>
      <c r="D126" s="29" t="s">
        <v>535</v>
      </c>
      <c r="E126" s="32"/>
      <c r="F126" s="71" t="s">
        <v>617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3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3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3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3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3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3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3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538</v>
      </c>
      <c r="B134" s="1"/>
      <c r="C134" s="5" t="s">
        <v>5</v>
      </c>
      <c r="D134" s="13" t="s">
        <v>430</v>
      </c>
      <c r="E134" s="30">
        <v>29</v>
      </c>
      <c r="F134" s="46" t="s">
        <v>555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528</v>
      </c>
      <c r="B135" s="1"/>
      <c r="C135" s="5" t="s">
        <v>5</v>
      </c>
      <c r="D135" s="13" t="s">
        <v>524</v>
      </c>
      <c r="E135" s="30">
        <v>15</v>
      </c>
      <c r="F135" s="43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3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5" t="s">
        <v>618</v>
      </c>
      <c r="G137" s="20">
        <f t="shared" si="10"/>
        <v>1</v>
      </c>
      <c r="H137" s="18"/>
      <c r="I137" s="19">
        <f t="shared" ref="I137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5" t="s">
        <v>619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621</v>
      </c>
      <c r="B139" s="21"/>
      <c r="C139" s="3"/>
      <c r="D139" s="14"/>
      <c r="E139" s="31"/>
      <c r="F139" s="45" t="s">
        <v>620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5" t="s">
        <v>622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5" t="s">
        <v>623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625</v>
      </c>
      <c r="B142" s="21"/>
      <c r="C142" s="3"/>
      <c r="D142" s="14"/>
      <c r="E142" s="31"/>
      <c r="F142" s="45" t="s">
        <v>624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3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3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3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4" t="s">
        <v>363</v>
      </c>
      <c r="B146" s="1"/>
      <c r="C146" s="5" t="s">
        <v>5</v>
      </c>
      <c r="D146" s="13" t="s">
        <v>627</v>
      </c>
      <c r="E146" s="30"/>
      <c r="F146" s="46" t="s">
        <v>626</v>
      </c>
      <c r="G146" s="20">
        <f t="shared" si="10"/>
        <v>1</v>
      </c>
      <c r="H146" s="18"/>
      <c r="I146" s="19">
        <f t="shared" si="12"/>
        <v>1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3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499</v>
      </c>
      <c r="B148" s="21"/>
      <c r="C148" s="3"/>
      <c r="D148" s="14" t="s">
        <v>629</v>
      </c>
      <c r="E148" s="31"/>
      <c r="F148" s="45" t="s">
        <v>628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3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3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5" t="s">
        <v>630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5" t="s">
        <v>631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3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511</v>
      </c>
      <c r="B154" s="1"/>
      <c r="C154" s="5" t="s">
        <v>5</v>
      </c>
      <c r="D154" s="13" t="s">
        <v>494</v>
      </c>
      <c r="E154" s="30">
        <v>10.1</v>
      </c>
      <c r="F154" s="43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526</v>
      </c>
      <c r="B155" s="1"/>
      <c r="C155" s="5" t="s">
        <v>5</v>
      </c>
      <c r="D155" s="13" t="s">
        <v>524</v>
      </c>
      <c r="E155" s="30">
        <v>10</v>
      </c>
      <c r="F155" s="43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509</v>
      </c>
      <c r="E156" s="30">
        <v>7.85</v>
      </c>
      <c r="F156" s="43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5" t="s">
        <v>632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3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3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3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3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633</v>
      </c>
      <c r="E162" s="31"/>
      <c r="F162" s="45" t="s">
        <v>634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5" t="s">
        <v>635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5" t="s">
        <v>636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3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3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3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5" t="s">
        <v>637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638</v>
      </c>
      <c r="B169" s="21"/>
      <c r="C169" s="3"/>
      <c r="D169" s="14"/>
      <c r="E169" s="31"/>
      <c r="F169" s="45" t="s">
        <v>639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5" t="s">
        <v>640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504</v>
      </c>
      <c r="B171" s="1"/>
      <c r="C171" s="5" t="s">
        <v>5</v>
      </c>
      <c r="D171" s="13"/>
      <c r="E171" s="30"/>
      <c r="F171" s="43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3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524</v>
      </c>
      <c r="E173" s="30"/>
      <c r="F173" s="43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5" t="s">
        <v>641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5" t="s">
        <v>642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5" t="s">
        <v>643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5" t="s">
        <v>644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3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5" t="s">
        <v>645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3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5" t="s">
        <v>646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5" t="s">
        <v>647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3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3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5" t="s">
        <v>648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3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5" t="s">
        <v>649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3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489</v>
      </c>
      <c r="E189" s="30"/>
      <c r="F189" s="43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3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494</v>
      </c>
      <c r="E191" s="30">
        <v>10.1</v>
      </c>
      <c r="F191" s="46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3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651</v>
      </c>
      <c r="B193" s="21"/>
      <c r="C193" s="3"/>
      <c r="D193" s="14"/>
      <c r="E193" s="31"/>
      <c r="F193" s="45" t="s">
        <v>650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518</v>
      </c>
      <c r="E194" s="30">
        <v>8</v>
      </c>
      <c r="F194" s="43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3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6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3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3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3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3"/>
      <c r="G200" s="20">
        <f t="shared" ref="G200:G265" si="15">COUNTA(A200)</f>
        <v>1</v>
      </c>
      <c r="H200" s="18"/>
      <c r="I200" s="19">
        <f t="shared" ref="I200:I265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513</v>
      </c>
      <c r="E201" s="30"/>
      <c r="F201" s="43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3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516</v>
      </c>
      <c r="E203" s="30">
        <v>19</v>
      </c>
      <c r="F203" s="43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3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5" t="s">
        <v>652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3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3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6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5" si="17">IF(B208=1,E208,"")</f>
        <v/>
      </c>
      <c r="N208" t="str">
        <f t="shared" ref="N208:N275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3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544</v>
      </c>
      <c r="E210" s="30"/>
      <c r="F210" s="43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3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3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5" t="s">
        <v>653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3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5" t="s">
        <v>654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6" t="s">
        <v>655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3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5" t="s">
        <v>656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494</v>
      </c>
      <c r="E219" s="30">
        <v>5.68</v>
      </c>
      <c r="F219" s="43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3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3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659</v>
      </c>
      <c r="B222" s="21"/>
      <c r="C222" s="3"/>
      <c r="D222" s="14"/>
      <c r="E222" s="31"/>
      <c r="F222" s="45" t="s">
        <v>660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657</v>
      </c>
      <c r="B223" s="21"/>
      <c r="C223" s="3"/>
      <c r="D223" s="14"/>
      <c r="E223" s="31"/>
      <c r="F223" s="45" t="s">
        <v>658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3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3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5" t="s">
        <v>661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5" t="s">
        <v>662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3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5" t="s">
        <v>663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3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3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3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5" t="s">
        <v>664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505</v>
      </c>
      <c r="B234" s="1"/>
      <c r="C234" s="5" t="s">
        <v>5</v>
      </c>
      <c r="D234" s="13"/>
      <c r="E234" s="30"/>
      <c r="F234" s="43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3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34" t="s">
        <v>804</v>
      </c>
      <c r="B236" s="25"/>
      <c r="C236" s="35"/>
      <c r="D236" s="36"/>
      <c r="E236" s="37"/>
      <c r="F236" s="70" t="s">
        <v>805</v>
      </c>
      <c r="G236" s="20">
        <f t="shared" ref="G236:G237" si="19">COUNTA(A236)</f>
        <v>1</v>
      </c>
      <c r="H236" s="18"/>
      <c r="I236" s="19">
        <f t="shared" ref="I236:I237" si="20">COUNTA(C236)</f>
        <v>0</v>
      </c>
      <c r="J236" s="19"/>
      <c r="K236" s="20"/>
      <c r="L236" s="19"/>
    </row>
    <row r="237" spans="1:14" x14ac:dyDescent="0.25">
      <c r="A237" s="34" t="s">
        <v>806</v>
      </c>
      <c r="B237" s="25"/>
      <c r="C237" s="35"/>
      <c r="D237" s="36"/>
      <c r="E237" s="37"/>
      <c r="F237" s="70" t="s">
        <v>807</v>
      </c>
      <c r="G237" s="20">
        <f t="shared" si="19"/>
        <v>1</v>
      </c>
      <c r="H237" s="18"/>
      <c r="I237" s="19">
        <f t="shared" si="20"/>
        <v>0</v>
      </c>
      <c r="J237" s="19"/>
      <c r="K237" s="20"/>
      <c r="L237" s="19"/>
    </row>
    <row r="238" spans="1:14" x14ac:dyDescent="0.25">
      <c r="A238" s="4" t="s">
        <v>204</v>
      </c>
      <c r="B238" s="1"/>
      <c r="C238" s="5" t="s">
        <v>5</v>
      </c>
      <c r="D238" s="13"/>
      <c r="E238" s="30"/>
      <c r="F238" s="43"/>
      <c r="G238" s="20">
        <f t="shared" si="15"/>
        <v>1</v>
      </c>
      <c r="H238" s="18"/>
      <c r="I238" s="19">
        <f t="shared" si="16"/>
        <v>1</v>
      </c>
      <c r="J238" s="19"/>
      <c r="K238" s="20"/>
      <c r="L238" s="19"/>
    </row>
    <row r="239" spans="1:14" x14ac:dyDescent="0.25">
      <c r="A239" s="4" t="s">
        <v>177</v>
      </c>
      <c r="B239" s="1"/>
      <c r="C239" s="5" t="s">
        <v>5</v>
      </c>
      <c r="D239" s="13"/>
      <c r="E239" s="30"/>
      <c r="F239" s="43"/>
      <c r="G239" s="20">
        <f t="shared" si="15"/>
        <v>1</v>
      </c>
      <c r="H239" s="18"/>
      <c r="I239" s="19">
        <f t="shared" si="16"/>
        <v>1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99</v>
      </c>
      <c r="B240" s="21"/>
      <c r="C240" s="3"/>
      <c r="D240" s="14"/>
      <c r="E240" s="31"/>
      <c r="F240" s="45" t="s">
        <v>665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2" t="s">
        <v>100</v>
      </c>
      <c r="B241" s="21"/>
      <c r="C241" s="3"/>
      <c r="D241" s="14"/>
      <c r="E241" s="31"/>
      <c r="F241" s="45" t="s">
        <v>666</v>
      </c>
      <c r="G241" s="20">
        <f t="shared" si="15"/>
        <v>1</v>
      </c>
      <c r="H241" s="18"/>
      <c r="I241" s="19">
        <f t="shared" si="16"/>
        <v>0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364</v>
      </c>
      <c r="B242" s="21"/>
      <c r="C242" s="3"/>
      <c r="D242" s="14"/>
      <c r="E242" s="31"/>
      <c r="F242" s="45" t="s">
        <v>667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4" t="s">
        <v>539</v>
      </c>
      <c r="B243" s="1"/>
      <c r="C243" s="5" t="s">
        <v>5</v>
      </c>
      <c r="D243" s="13" t="s">
        <v>430</v>
      </c>
      <c r="E243" s="30">
        <v>15</v>
      </c>
      <c r="F243" s="46" t="s">
        <v>556</v>
      </c>
      <c r="G243" s="20">
        <f t="shared" si="15"/>
        <v>1</v>
      </c>
      <c r="H243" s="18"/>
      <c r="I243" s="19">
        <f t="shared" si="16"/>
        <v>1</v>
      </c>
      <c r="J243" s="19"/>
      <c r="K243" s="20"/>
      <c r="L243" s="19"/>
      <c r="M243" t="str">
        <f t="shared" si="17"/>
        <v/>
      </c>
      <c r="N243" t="str">
        <f t="shared" si="18"/>
        <v/>
      </c>
    </row>
    <row r="244" spans="1:14" x14ac:dyDescent="0.25">
      <c r="A244" s="2" t="s">
        <v>101</v>
      </c>
      <c r="B244" s="21"/>
      <c r="C244" s="3"/>
      <c r="D244" s="14"/>
      <c r="E244" s="31"/>
      <c r="F244" s="45" t="s">
        <v>668</v>
      </c>
      <c r="G244" s="20">
        <f t="shared" si="15"/>
        <v>1</v>
      </c>
      <c r="H244" s="18"/>
      <c r="I244" s="19">
        <f t="shared" si="16"/>
        <v>0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670</v>
      </c>
      <c r="B245" s="21"/>
      <c r="C245" s="3"/>
      <c r="D245" s="14"/>
      <c r="E245" s="31"/>
      <c r="F245" s="45" t="s">
        <v>669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4" t="s">
        <v>316</v>
      </c>
      <c r="B246" s="1"/>
      <c r="C246" s="5" t="s">
        <v>5</v>
      </c>
      <c r="D246" s="13"/>
      <c r="E246" s="30"/>
      <c r="F246" s="43"/>
      <c r="G246" s="20">
        <f t="shared" si="15"/>
        <v>1</v>
      </c>
      <c r="H246" s="18"/>
      <c r="I246" s="19">
        <f t="shared" si="16"/>
        <v>1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219</v>
      </c>
      <c r="B247" s="21"/>
      <c r="C247" s="3"/>
      <c r="D247" s="14"/>
      <c r="E247" s="31"/>
      <c r="F247" s="45" t="s">
        <v>671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</row>
    <row r="248" spans="1:14" x14ac:dyDescent="0.25">
      <c r="A248" s="2" t="s">
        <v>220</v>
      </c>
      <c r="B248" s="21"/>
      <c r="C248" s="3"/>
      <c r="D248" s="14"/>
      <c r="E248" s="31"/>
      <c r="F248" s="45" t="s">
        <v>672</v>
      </c>
      <c r="G248" s="20">
        <f t="shared" si="15"/>
        <v>1</v>
      </c>
      <c r="H248" s="18"/>
      <c r="I248" s="19">
        <f t="shared" si="16"/>
        <v>0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2" t="s">
        <v>205</v>
      </c>
      <c r="B249" s="21"/>
      <c r="C249" s="3"/>
      <c r="D249" s="14"/>
      <c r="E249" s="31"/>
      <c r="F249" s="45" t="s">
        <v>673</v>
      </c>
      <c r="G249" s="20">
        <f t="shared" si="15"/>
        <v>1</v>
      </c>
      <c r="H249" s="18"/>
      <c r="I249" s="19">
        <f t="shared" si="16"/>
        <v>0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4" t="s">
        <v>206</v>
      </c>
      <c r="B250" s="1"/>
      <c r="C250" s="5" t="s">
        <v>5</v>
      </c>
      <c r="D250" s="13"/>
      <c r="E250" s="30"/>
      <c r="F250" s="43"/>
      <c r="G250" s="20">
        <f t="shared" si="15"/>
        <v>1</v>
      </c>
      <c r="H250" s="18"/>
      <c r="I250" s="19">
        <f t="shared" si="16"/>
        <v>1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207</v>
      </c>
      <c r="B251" s="1"/>
      <c r="C251" s="5" t="s">
        <v>5</v>
      </c>
      <c r="D251" s="13" t="s">
        <v>430</v>
      </c>
      <c r="E251" s="30">
        <v>129</v>
      </c>
      <c r="F251" s="46" t="s">
        <v>557</v>
      </c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2" t="s">
        <v>309</v>
      </c>
      <c r="B252" s="21"/>
      <c r="C252" s="3"/>
      <c r="D252" s="14" t="s">
        <v>675</v>
      </c>
      <c r="E252" s="31"/>
      <c r="F252" s="45" t="s">
        <v>674</v>
      </c>
      <c r="G252" s="20">
        <f t="shared" si="15"/>
        <v>1</v>
      </c>
      <c r="H252" s="18"/>
      <c r="I252" s="19">
        <f t="shared" si="16"/>
        <v>0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196</v>
      </c>
      <c r="B253" s="1"/>
      <c r="C253" s="5" t="s">
        <v>5</v>
      </c>
      <c r="D253" s="13"/>
      <c r="E253" s="30"/>
      <c r="F253" s="43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208</v>
      </c>
      <c r="B254" s="1"/>
      <c r="C254" s="5" t="s">
        <v>5</v>
      </c>
      <c r="D254" s="13"/>
      <c r="E254" s="30"/>
      <c r="F254" s="43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4" t="s">
        <v>260</v>
      </c>
      <c r="B255" s="1"/>
      <c r="C255" s="5" t="s">
        <v>5</v>
      </c>
      <c r="D255" s="13"/>
      <c r="E255" s="30"/>
      <c r="F255" s="43"/>
      <c r="G255" s="20">
        <f t="shared" si="15"/>
        <v>1</v>
      </c>
      <c r="H255" s="18"/>
      <c r="I255" s="19">
        <f t="shared" si="16"/>
        <v>1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195</v>
      </c>
      <c r="B256" s="1"/>
      <c r="C256" s="5" t="s">
        <v>5</v>
      </c>
      <c r="D256" s="13"/>
      <c r="E256" s="30"/>
      <c r="F256" s="43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2" t="s">
        <v>102</v>
      </c>
      <c r="B257" s="21"/>
      <c r="C257" s="3"/>
      <c r="D257" s="14"/>
      <c r="E257" s="31"/>
      <c r="F257" s="45" t="s">
        <v>676</v>
      </c>
      <c r="G257" s="20">
        <f t="shared" si="15"/>
        <v>1</v>
      </c>
      <c r="H257" s="18"/>
      <c r="I257" s="19">
        <f t="shared" si="16"/>
        <v>0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4" t="s">
        <v>10</v>
      </c>
      <c r="B258" s="1"/>
      <c r="C258" s="5" t="s">
        <v>5</v>
      </c>
      <c r="D258" s="13"/>
      <c r="E258" s="30"/>
      <c r="F258" s="43"/>
      <c r="G258" s="20">
        <f t="shared" si="15"/>
        <v>1</v>
      </c>
      <c r="H258" s="18"/>
      <c r="I258" s="19">
        <f t="shared" si="16"/>
        <v>1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103</v>
      </c>
      <c r="B259" s="1"/>
      <c r="C259" s="5" t="s">
        <v>5</v>
      </c>
      <c r="D259" s="13"/>
      <c r="E259" s="30"/>
      <c r="F259" s="43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2" t="s">
        <v>104</v>
      </c>
      <c r="B260" s="21"/>
      <c r="C260" s="3"/>
      <c r="D260" s="14"/>
      <c r="E260" s="31"/>
      <c r="F260" s="45" t="s">
        <v>677</v>
      </c>
      <c r="G260" s="20">
        <f t="shared" si="15"/>
        <v>1</v>
      </c>
      <c r="H260" s="18"/>
      <c r="I260" s="19">
        <f t="shared" si="16"/>
        <v>0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178</v>
      </c>
      <c r="B261" s="1"/>
      <c r="C261" s="5" t="s">
        <v>5</v>
      </c>
      <c r="D261" s="13"/>
      <c r="E261" s="30"/>
      <c r="F261" s="43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4" t="s">
        <v>242</v>
      </c>
      <c r="B262" s="1"/>
      <c r="C262" s="5" t="s">
        <v>5</v>
      </c>
      <c r="D262" s="13"/>
      <c r="E262" s="30"/>
      <c r="F262" s="43"/>
      <c r="G262" s="20">
        <f t="shared" si="15"/>
        <v>1</v>
      </c>
      <c r="H262" s="18"/>
      <c r="I262" s="19">
        <f t="shared" si="16"/>
        <v>1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4" t="s">
        <v>403</v>
      </c>
      <c r="B263" s="1"/>
      <c r="C263" s="5" t="s">
        <v>5</v>
      </c>
      <c r="D263" s="13"/>
      <c r="E263" s="30"/>
      <c r="F263" s="43"/>
      <c r="G263" s="20">
        <f t="shared" si="15"/>
        <v>1</v>
      </c>
      <c r="H263" s="18"/>
      <c r="I263" s="19">
        <f t="shared" si="16"/>
        <v>1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679</v>
      </c>
      <c r="B264" s="21"/>
      <c r="C264" s="3"/>
      <c r="D264" s="14"/>
      <c r="E264" s="31"/>
      <c r="F264" s="45" t="s">
        <v>678</v>
      </c>
      <c r="G264" s="20">
        <f t="shared" si="15"/>
        <v>1</v>
      </c>
      <c r="H264" s="18"/>
      <c r="I264" s="19">
        <f t="shared" si="16"/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191</v>
      </c>
      <c r="B265" s="21"/>
      <c r="C265" s="3"/>
      <c r="D265" s="14"/>
      <c r="E265" s="31"/>
      <c r="F265" s="45" t="s">
        <v>680</v>
      </c>
      <c r="G265" s="20">
        <f t="shared" si="15"/>
        <v>1</v>
      </c>
      <c r="H265" s="18"/>
      <c r="I265" s="19">
        <f t="shared" si="16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262</v>
      </c>
      <c r="B266" s="21"/>
      <c r="C266" s="3"/>
      <c r="D266" s="14"/>
      <c r="E266" s="31"/>
      <c r="F266" s="45" t="s">
        <v>681</v>
      </c>
      <c r="G266" s="20">
        <f t="shared" ref="G266:G328" si="21">COUNTA(A266)</f>
        <v>1</v>
      </c>
      <c r="H266" s="18"/>
      <c r="I266" s="19">
        <f t="shared" ref="I266:I328" si="22">COUNTA(C266)</f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263</v>
      </c>
      <c r="B267" s="21"/>
      <c r="C267" s="3"/>
      <c r="D267" s="14"/>
      <c r="E267" s="31"/>
      <c r="F267" s="45" t="s">
        <v>682</v>
      </c>
      <c r="G267" s="20">
        <f t="shared" si="21"/>
        <v>1</v>
      </c>
      <c r="H267" s="18"/>
      <c r="I267" s="19">
        <f t="shared" si="22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2" t="s">
        <v>105</v>
      </c>
      <c r="B268" s="21"/>
      <c r="C268" s="3"/>
      <c r="D268" s="14"/>
      <c r="E268" s="31"/>
      <c r="F268" s="45" t="s">
        <v>683</v>
      </c>
      <c r="G268" s="20">
        <f t="shared" si="21"/>
        <v>1</v>
      </c>
      <c r="H268" s="18"/>
      <c r="I268" s="19">
        <f t="shared" si="22"/>
        <v>0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2" t="s">
        <v>273</v>
      </c>
      <c r="B269" s="21"/>
      <c r="C269" s="3"/>
      <c r="D269" s="14"/>
      <c r="E269" s="31"/>
      <c r="F269" s="45" t="s">
        <v>684</v>
      </c>
      <c r="G269" s="20">
        <f t="shared" si="21"/>
        <v>1</v>
      </c>
      <c r="H269" s="18"/>
      <c r="I269" s="19">
        <f t="shared" si="22"/>
        <v>0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243</v>
      </c>
      <c r="B270" s="1"/>
      <c r="C270" s="5" t="s">
        <v>5</v>
      </c>
      <c r="D270" s="13"/>
      <c r="E270" s="30"/>
      <c r="F270" s="46"/>
      <c r="G270" s="20">
        <f t="shared" si="21"/>
        <v>1</v>
      </c>
      <c r="H270" s="18"/>
      <c r="I270" s="19">
        <f t="shared" si="22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4" t="s">
        <v>22</v>
      </c>
      <c r="B271" s="1"/>
      <c r="C271" s="5" t="s">
        <v>5</v>
      </c>
      <c r="D271" s="13"/>
      <c r="E271" s="30"/>
      <c r="F271" s="43"/>
      <c r="G271" s="20">
        <f t="shared" si="21"/>
        <v>1</v>
      </c>
      <c r="H271" s="18"/>
      <c r="I271" s="19">
        <f t="shared" si="22"/>
        <v>1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4" t="s">
        <v>492</v>
      </c>
      <c r="B272" s="1"/>
      <c r="C272" s="5" t="s">
        <v>5</v>
      </c>
      <c r="D272" s="13" t="s">
        <v>494</v>
      </c>
      <c r="E272" s="30">
        <v>19.329999999999998</v>
      </c>
      <c r="F272" s="46"/>
      <c r="G272" s="20">
        <f t="shared" si="21"/>
        <v>1</v>
      </c>
      <c r="H272" s="18"/>
      <c r="I272" s="19">
        <f t="shared" si="22"/>
        <v>1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2" t="s">
        <v>329</v>
      </c>
      <c r="B273" s="21"/>
      <c r="C273" s="3"/>
      <c r="D273" s="14"/>
      <c r="E273" s="31"/>
      <c r="F273" s="45" t="s">
        <v>685</v>
      </c>
      <c r="G273" s="20">
        <f t="shared" si="21"/>
        <v>1</v>
      </c>
      <c r="H273" s="18"/>
      <c r="I273" s="19">
        <f t="shared" si="22"/>
        <v>0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369</v>
      </c>
      <c r="B274" s="21"/>
      <c r="C274" s="3"/>
      <c r="D274" s="14"/>
      <c r="E274" s="31"/>
      <c r="F274" s="45" t="s">
        <v>686</v>
      </c>
      <c r="G274" s="20">
        <f t="shared" si="21"/>
        <v>1</v>
      </c>
      <c r="H274" s="18"/>
      <c r="I274" s="19">
        <f t="shared" si="22"/>
        <v>0</v>
      </c>
      <c r="J274" s="19"/>
      <c r="K274" s="20"/>
      <c r="L274" s="19"/>
      <c r="M274" t="str">
        <f t="shared" si="17"/>
        <v/>
      </c>
      <c r="N274" t="str">
        <f t="shared" si="18"/>
        <v/>
      </c>
    </row>
    <row r="275" spans="1:14" x14ac:dyDescent="0.25">
      <c r="A275" s="4" t="s">
        <v>445</v>
      </c>
      <c r="B275" s="1"/>
      <c r="C275" s="5" t="s">
        <v>5</v>
      </c>
      <c r="D275" s="13" t="s">
        <v>422</v>
      </c>
      <c r="E275" s="30"/>
      <c r="F275" s="43"/>
      <c r="G275" s="20">
        <f t="shared" si="21"/>
        <v>1</v>
      </c>
      <c r="H275" s="18"/>
      <c r="I275" s="19">
        <f t="shared" si="22"/>
        <v>1</v>
      </c>
      <c r="J275" s="19"/>
      <c r="K275" s="20"/>
      <c r="L275" s="19"/>
      <c r="M275" t="str">
        <f t="shared" si="17"/>
        <v/>
      </c>
      <c r="N275" t="str">
        <f t="shared" si="18"/>
        <v/>
      </c>
    </row>
    <row r="276" spans="1:14" x14ac:dyDescent="0.25">
      <c r="A276" s="2" t="s">
        <v>106</v>
      </c>
      <c r="B276" s="21"/>
      <c r="C276" s="3"/>
      <c r="D276" s="14" t="s">
        <v>688</v>
      </c>
      <c r="E276" s="31"/>
      <c r="F276" s="45" t="s">
        <v>689</v>
      </c>
      <c r="G276" s="20">
        <f t="shared" si="21"/>
        <v>1</v>
      </c>
      <c r="H276" s="18"/>
      <c r="I276" s="19">
        <f t="shared" si="22"/>
        <v>0</v>
      </c>
      <c r="J276" s="19"/>
      <c r="K276" s="20"/>
      <c r="L276" s="19"/>
      <c r="M276" t="str">
        <f t="shared" ref="M276:M342" si="23">IF(B276=1,E276,"")</f>
        <v/>
      </c>
      <c r="N276" t="str">
        <f t="shared" ref="N276:N342" si="24">IF(B276=2,E276,"")</f>
        <v/>
      </c>
    </row>
    <row r="277" spans="1:14" x14ac:dyDescent="0.25">
      <c r="A277" s="2" t="s">
        <v>107</v>
      </c>
      <c r="B277" s="21"/>
      <c r="C277" s="3"/>
      <c r="D277" s="14"/>
      <c r="E277" s="31"/>
      <c r="F277" s="45" t="s">
        <v>687</v>
      </c>
      <c r="G277" s="20">
        <f t="shared" si="21"/>
        <v>1</v>
      </c>
      <c r="H277" s="18"/>
      <c r="I277" s="19">
        <f t="shared" si="22"/>
        <v>0</v>
      </c>
      <c r="J277" s="19"/>
      <c r="K277" s="20"/>
      <c r="L277" s="19"/>
      <c r="M277" t="str">
        <f t="shared" si="23"/>
        <v/>
      </c>
      <c r="N277" t="str">
        <f t="shared" si="24"/>
        <v/>
      </c>
    </row>
    <row r="278" spans="1:14" x14ac:dyDescent="0.25">
      <c r="A278" s="2" t="s">
        <v>108</v>
      </c>
      <c r="B278" s="21"/>
      <c r="C278" s="3"/>
      <c r="D278" s="14"/>
      <c r="E278" s="31"/>
      <c r="F278" s="45" t="s">
        <v>690</v>
      </c>
      <c r="G278" s="20">
        <f t="shared" si="21"/>
        <v>1</v>
      </c>
      <c r="H278" s="18"/>
      <c r="I278" s="19">
        <f t="shared" si="22"/>
        <v>0</v>
      </c>
      <c r="J278" s="19"/>
      <c r="K278" s="20"/>
      <c r="L278" s="19"/>
      <c r="M278" t="str">
        <f t="shared" si="23"/>
        <v/>
      </c>
      <c r="N278" t="str">
        <f t="shared" si="24"/>
        <v/>
      </c>
    </row>
    <row r="279" spans="1:14" x14ac:dyDescent="0.25">
      <c r="A279" s="4" t="s">
        <v>180</v>
      </c>
      <c r="B279" s="1"/>
      <c r="C279" s="5" t="s">
        <v>5</v>
      </c>
      <c r="D279" s="13" t="s">
        <v>422</v>
      </c>
      <c r="E279" s="30"/>
      <c r="F279" s="43"/>
      <c r="G279" s="20">
        <f t="shared" si="21"/>
        <v>1</v>
      </c>
      <c r="H279" s="18"/>
      <c r="I279" s="19">
        <f t="shared" si="22"/>
        <v>1</v>
      </c>
      <c r="J279" s="19"/>
      <c r="K279" s="20"/>
      <c r="L279" s="19"/>
      <c r="M279" t="str">
        <f t="shared" si="23"/>
        <v/>
      </c>
      <c r="N279" t="str">
        <f t="shared" si="24"/>
        <v/>
      </c>
    </row>
    <row r="280" spans="1:14" x14ac:dyDescent="0.25">
      <c r="A280" s="2" t="s">
        <v>109</v>
      </c>
      <c r="B280" s="21"/>
      <c r="C280" s="3"/>
      <c r="D280" s="14"/>
      <c r="E280" s="31"/>
      <c r="F280" s="45" t="s">
        <v>691</v>
      </c>
      <c r="G280" s="20">
        <f t="shared" si="21"/>
        <v>1</v>
      </c>
      <c r="H280" s="18"/>
      <c r="I280" s="19">
        <f t="shared" si="22"/>
        <v>0</v>
      </c>
      <c r="J280" s="19"/>
      <c r="K280" s="20"/>
      <c r="L280" s="19"/>
      <c r="M280" t="str">
        <f t="shared" si="23"/>
        <v/>
      </c>
      <c r="N280" t="str">
        <f t="shared" si="24"/>
        <v/>
      </c>
    </row>
    <row r="281" spans="1:14" x14ac:dyDescent="0.25">
      <c r="A281" s="4" t="s">
        <v>110</v>
      </c>
      <c r="B281" s="1"/>
      <c r="C281" s="5" t="s">
        <v>5</v>
      </c>
      <c r="D281" s="13" t="s">
        <v>424</v>
      </c>
      <c r="E281" s="30"/>
      <c r="F281" s="43"/>
      <c r="G281" s="20">
        <f t="shared" si="21"/>
        <v>1</v>
      </c>
      <c r="H281" s="18"/>
      <c r="I281" s="19">
        <f t="shared" si="22"/>
        <v>1</v>
      </c>
      <c r="J281" s="19"/>
      <c r="K281" s="20"/>
      <c r="L281" s="19"/>
      <c r="M281" t="str">
        <f t="shared" si="23"/>
        <v/>
      </c>
      <c r="N281" t="str">
        <f t="shared" si="24"/>
        <v/>
      </c>
    </row>
    <row r="282" spans="1:14" x14ac:dyDescent="0.25">
      <c r="A282" s="4" t="s">
        <v>515</v>
      </c>
      <c r="B282" s="1"/>
      <c r="C282" s="5" t="s">
        <v>5</v>
      </c>
      <c r="D282" s="13" t="s">
        <v>514</v>
      </c>
      <c r="E282" s="30"/>
      <c r="F282" s="43"/>
      <c r="G282" s="20">
        <f t="shared" si="21"/>
        <v>1</v>
      </c>
      <c r="H282" s="18"/>
      <c r="I282" s="19">
        <f t="shared" si="22"/>
        <v>1</v>
      </c>
      <c r="J282" s="19"/>
      <c r="K282" s="20"/>
      <c r="L282" s="19"/>
      <c r="M282" t="str">
        <f t="shared" si="23"/>
        <v/>
      </c>
      <c r="N282" t="str">
        <f t="shared" si="24"/>
        <v/>
      </c>
    </row>
    <row r="283" spans="1:14" x14ac:dyDescent="0.25">
      <c r="A283" s="4" t="s">
        <v>527</v>
      </c>
      <c r="B283" s="1"/>
      <c r="C283" s="5" t="s">
        <v>5</v>
      </c>
      <c r="D283" s="13" t="s">
        <v>524</v>
      </c>
      <c r="E283" s="30">
        <v>15</v>
      </c>
      <c r="F283" s="43">
        <v>12</v>
      </c>
      <c r="G283" s="20">
        <f t="shared" si="21"/>
        <v>1</v>
      </c>
      <c r="H283" s="18"/>
      <c r="I283" s="19">
        <f t="shared" si="22"/>
        <v>1</v>
      </c>
      <c r="J283" s="19"/>
      <c r="K283" s="20"/>
      <c r="L283" s="19"/>
      <c r="M283" t="str">
        <f t="shared" si="23"/>
        <v/>
      </c>
      <c r="N283" t="str">
        <f t="shared" si="24"/>
        <v/>
      </c>
    </row>
    <row r="284" spans="1:14" x14ac:dyDescent="0.25">
      <c r="A284" s="4" t="s">
        <v>438</v>
      </c>
      <c r="B284" s="1"/>
      <c r="C284" s="5" t="s">
        <v>303</v>
      </c>
      <c r="D284" s="13" t="s">
        <v>430</v>
      </c>
      <c r="E284" s="30">
        <v>12</v>
      </c>
      <c r="F284" s="43"/>
      <c r="G284" s="20">
        <f t="shared" si="21"/>
        <v>1</v>
      </c>
      <c r="H284" s="18"/>
      <c r="I284" s="19">
        <f t="shared" si="22"/>
        <v>1</v>
      </c>
      <c r="J284" s="19"/>
      <c r="K284" s="20"/>
      <c r="L284" s="19"/>
      <c r="M284" t="str">
        <f t="shared" si="23"/>
        <v/>
      </c>
      <c r="N284" t="str">
        <f t="shared" si="24"/>
        <v/>
      </c>
    </row>
    <row r="285" spans="1:14" x14ac:dyDescent="0.25">
      <c r="A285" s="4" t="s">
        <v>532</v>
      </c>
      <c r="B285" s="1"/>
      <c r="C285" s="5" t="s">
        <v>5</v>
      </c>
      <c r="D285" s="13" t="s">
        <v>524</v>
      </c>
      <c r="E285" s="30">
        <v>15</v>
      </c>
      <c r="F285" s="43">
        <v>20</v>
      </c>
      <c r="G285" s="20">
        <f t="shared" si="21"/>
        <v>1</v>
      </c>
      <c r="H285" s="18"/>
      <c r="I285" s="19">
        <f t="shared" si="22"/>
        <v>1</v>
      </c>
      <c r="J285" s="19"/>
      <c r="K285" s="20"/>
      <c r="L285" s="19"/>
      <c r="M285" t="str">
        <f t="shared" si="23"/>
        <v/>
      </c>
      <c r="N285" t="str">
        <f t="shared" si="24"/>
        <v/>
      </c>
    </row>
    <row r="286" spans="1:14" x14ac:dyDescent="0.25">
      <c r="A286" s="2" t="s">
        <v>337</v>
      </c>
      <c r="B286" s="21"/>
      <c r="C286" s="3"/>
      <c r="D286" s="14"/>
      <c r="E286" s="31"/>
      <c r="F286" s="45" t="s">
        <v>692</v>
      </c>
      <c r="G286" s="20">
        <f t="shared" si="21"/>
        <v>1</v>
      </c>
      <c r="H286" s="18"/>
      <c r="I286" s="19">
        <f t="shared" si="22"/>
        <v>0</v>
      </c>
      <c r="J286" s="19"/>
      <c r="K286" s="20"/>
      <c r="L286" s="19"/>
      <c r="M286" t="str">
        <f t="shared" si="23"/>
        <v/>
      </c>
      <c r="N286" t="str">
        <f t="shared" si="24"/>
        <v/>
      </c>
    </row>
    <row r="287" spans="1:14" x14ac:dyDescent="0.25">
      <c r="A287" s="4" t="s">
        <v>111</v>
      </c>
      <c r="B287" s="1"/>
      <c r="C287" s="5" t="s">
        <v>5</v>
      </c>
      <c r="D287" s="13" t="s">
        <v>422</v>
      </c>
      <c r="E287" s="30"/>
      <c r="F287" s="43"/>
      <c r="G287" s="20">
        <f t="shared" si="21"/>
        <v>1</v>
      </c>
      <c r="H287" s="18"/>
      <c r="I287" s="19">
        <f t="shared" si="22"/>
        <v>1</v>
      </c>
      <c r="J287" s="19"/>
      <c r="K287" s="20"/>
      <c r="L287" s="19"/>
      <c r="M287" t="str">
        <f t="shared" si="23"/>
        <v/>
      </c>
      <c r="N287" t="str">
        <f t="shared" si="24"/>
        <v/>
      </c>
    </row>
    <row r="288" spans="1:14" x14ac:dyDescent="0.25">
      <c r="A288" s="2" t="s">
        <v>385</v>
      </c>
      <c r="B288" s="21"/>
      <c r="C288" s="3"/>
      <c r="D288" s="14" t="s">
        <v>387</v>
      </c>
      <c r="E288" s="31"/>
      <c r="F288" s="45" t="s">
        <v>693</v>
      </c>
      <c r="G288" s="20">
        <f t="shared" si="21"/>
        <v>1</v>
      </c>
      <c r="H288" s="18"/>
      <c r="I288" s="19">
        <f t="shared" si="22"/>
        <v>0</v>
      </c>
      <c r="J288" s="19"/>
      <c r="K288" s="20"/>
      <c r="L288" s="19"/>
      <c r="M288" t="str">
        <f t="shared" si="23"/>
        <v/>
      </c>
      <c r="N288" t="str">
        <f t="shared" si="24"/>
        <v/>
      </c>
    </row>
    <row r="289" spans="1:14" x14ac:dyDescent="0.25">
      <c r="A289" s="2" t="s">
        <v>334</v>
      </c>
      <c r="B289" s="21"/>
      <c r="C289" s="3"/>
      <c r="D289" s="14" t="s">
        <v>386</v>
      </c>
      <c r="E289" s="31"/>
      <c r="F289" s="45" t="s">
        <v>694</v>
      </c>
      <c r="G289" s="20">
        <f t="shared" si="21"/>
        <v>1</v>
      </c>
      <c r="H289" s="18"/>
      <c r="I289" s="19">
        <f t="shared" si="22"/>
        <v>0</v>
      </c>
      <c r="J289" s="19"/>
      <c r="K289" s="20"/>
      <c r="L289" s="19"/>
    </row>
    <row r="290" spans="1:14" x14ac:dyDescent="0.25">
      <c r="A290" s="4" t="s">
        <v>112</v>
      </c>
      <c r="B290" s="1"/>
      <c r="C290" s="5" t="s">
        <v>5</v>
      </c>
      <c r="D290" s="13" t="s">
        <v>422</v>
      </c>
      <c r="E290" s="30"/>
      <c r="F290" s="43"/>
      <c r="G290" s="20">
        <f t="shared" si="21"/>
        <v>1</v>
      </c>
      <c r="H290" s="18"/>
      <c r="I290" s="19">
        <f t="shared" si="22"/>
        <v>1</v>
      </c>
      <c r="J290" s="19"/>
      <c r="K290" s="20"/>
      <c r="L290" s="19"/>
    </row>
    <row r="291" spans="1:14" x14ac:dyDescent="0.25">
      <c r="A291" s="4" t="s">
        <v>234</v>
      </c>
      <c r="B291" s="1"/>
      <c r="C291" s="5" t="s">
        <v>5</v>
      </c>
      <c r="D291" s="13"/>
      <c r="E291" s="30"/>
      <c r="F291" s="43"/>
      <c r="G291" s="20">
        <f t="shared" si="21"/>
        <v>1</v>
      </c>
      <c r="H291" s="18"/>
      <c r="I291" s="19">
        <f t="shared" si="22"/>
        <v>1</v>
      </c>
      <c r="J291" s="19"/>
      <c r="K291" s="20"/>
      <c r="L291" s="19"/>
      <c r="M291" t="str">
        <f t="shared" si="23"/>
        <v/>
      </c>
      <c r="N291" t="str">
        <f t="shared" si="24"/>
        <v/>
      </c>
    </row>
    <row r="292" spans="1:14" x14ac:dyDescent="0.25">
      <c r="A292" s="2" t="s">
        <v>113</v>
      </c>
      <c r="B292" s="21"/>
      <c r="C292" s="6"/>
      <c r="D292" s="14"/>
      <c r="E292" s="31"/>
      <c r="F292" s="45" t="s">
        <v>695</v>
      </c>
      <c r="G292" s="20">
        <f t="shared" si="21"/>
        <v>1</v>
      </c>
      <c r="H292" s="18"/>
      <c r="I292" s="19">
        <f t="shared" si="22"/>
        <v>0</v>
      </c>
      <c r="J292" s="19"/>
      <c r="K292" s="20"/>
      <c r="L292" s="19"/>
      <c r="M292" t="str">
        <f t="shared" si="23"/>
        <v/>
      </c>
      <c r="N292" t="str">
        <f t="shared" si="24"/>
        <v/>
      </c>
    </row>
    <row r="293" spans="1:14" x14ac:dyDescent="0.25">
      <c r="A293" s="2" t="s">
        <v>114</v>
      </c>
      <c r="B293" s="21"/>
      <c r="C293" s="3"/>
      <c r="D293" s="14"/>
      <c r="E293" s="31"/>
      <c r="F293" s="45" t="s">
        <v>696</v>
      </c>
      <c r="G293" s="20">
        <f t="shared" si="21"/>
        <v>1</v>
      </c>
      <c r="H293" s="18"/>
      <c r="I293" s="19">
        <f t="shared" si="22"/>
        <v>0</v>
      </c>
      <c r="J293" s="19"/>
      <c r="K293" s="20"/>
      <c r="L293" s="19"/>
      <c r="M293" t="str">
        <f t="shared" si="23"/>
        <v/>
      </c>
      <c r="N293" t="str">
        <f t="shared" si="24"/>
        <v/>
      </c>
    </row>
    <row r="294" spans="1:14" x14ac:dyDescent="0.25">
      <c r="A294" s="2" t="s">
        <v>115</v>
      </c>
      <c r="B294" s="21"/>
      <c r="C294" s="3"/>
      <c r="D294" s="14"/>
      <c r="E294" s="31"/>
      <c r="F294" s="45" t="s">
        <v>697</v>
      </c>
      <c r="G294" s="20">
        <f t="shared" si="21"/>
        <v>1</v>
      </c>
      <c r="H294" s="18"/>
      <c r="I294" s="19">
        <f t="shared" si="22"/>
        <v>0</v>
      </c>
      <c r="J294" s="19"/>
      <c r="K294" s="20"/>
      <c r="L294" s="19"/>
      <c r="M294" t="str">
        <f t="shared" si="23"/>
        <v/>
      </c>
      <c r="N294" t="str">
        <f t="shared" si="24"/>
        <v/>
      </c>
    </row>
    <row r="295" spans="1:14" x14ac:dyDescent="0.25">
      <c r="A295" s="2" t="s">
        <v>396</v>
      </c>
      <c r="B295" s="21"/>
      <c r="C295" s="3"/>
      <c r="D295" s="14"/>
      <c r="E295" s="31"/>
      <c r="F295" s="45" t="s">
        <v>698</v>
      </c>
      <c r="G295" s="20">
        <f t="shared" si="21"/>
        <v>1</v>
      </c>
      <c r="H295" s="18"/>
      <c r="I295" s="19">
        <f t="shared" si="22"/>
        <v>0</v>
      </c>
      <c r="J295" s="19"/>
      <c r="K295" s="20"/>
      <c r="L295" s="19"/>
      <c r="M295" t="str">
        <f t="shared" si="23"/>
        <v/>
      </c>
      <c r="N295" t="str">
        <f t="shared" si="24"/>
        <v/>
      </c>
    </row>
    <row r="296" spans="1:14" x14ac:dyDescent="0.25">
      <c r="A296" s="2" t="s">
        <v>278</v>
      </c>
      <c r="B296" s="21"/>
      <c r="C296" s="3"/>
      <c r="D296" s="14"/>
      <c r="E296" s="31"/>
      <c r="F296" s="45" t="s">
        <v>699</v>
      </c>
      <c r="G296" s="20">
        <f t="shared" si="21"/>
        <v>1</v>
      </c>
      <c r="H296" s="18"/>
      <c r="I296" s="19">
        <f t="shared" si="22"/>
        <v>0</v>
      </c>
      <c r="J296" s="19"/>
      <c r="K296" s="20"/>
      <c r="L296" s="19"/>
      <c r="M296" t="str">
        <f t="shared" si="23"/>
        <v/>
      </c>
      <c r="N296" t="str">
        <f t="shared" si="24"/>
        <v/>
      </c>
    </row>
    <row r="297" spans="1:14" x14ac:dyDescent="0.25">
      <c r="A297" s="4" t="s">
        <v>341</v>
      </c>
      <c r="B297" s="1"/>
      <c r="C297" s="5" t="s">
        <v>5</v>
      </c>
      <c r="D297" s="13" t="s">
        <v>494</v>
      </c>
      <c r="E297" s="30">
        <v>11.41</v>
      </c>
      <c r="F297" s="43"/>
      <c r="G297" s="20">
        <f t="shared" si="21"/>
        <v>1</v>
      </c>
      <c r="H297" s="18"/>
      <c r="I297" s="19">
        <f t="shared" si="22"/>
        <v>1</v>
      </c>
      <c r="J297" s="19"/>
      <c r="K297" s="20"/>
      <c r="L297" s="19"/>
      <c r="M297" t="str">
        <f t="shared" si="23"/>
        <v/>
      </c>
      <c r="N297" t="str">
        <f t="shared" si="24"/>
        <v/>
      </c>
    </row>
    <row r="298" spans="1:14" x14ac:dyDescent="0.25">
      <c r="A298" s="4" t="s">
        <v>453</v>
      </c>
      <c r="B298" s="1">
        <v>3</v>
      </c>
      <c r="C298" s="5" t="s">
        <v>5</v>
      </c>
      <c r="D298" s="13" t="s">
        <v>473</v>
      </c>
      <c r="E298" s="30"/>
      <c r="F298" s="43"/>
      <c r="G298" s="20">
        <f t="shared" si="21"/>
        <v>1</v>
      </c>
      <c r="H298" s="18"/>
      <c r="I298" s="19">
        <f t="shared" si="22"/>
        <v>1</v>
      </c>
      <c r="J298" s="19"/>
      <c r="K298" s="20"/>
      <c r="L298" s="19"/>
      <c r="M298" t="str">
        <f t="shared" si="23"/>
        <v/>
      </c>
      <c r="N298" t="str">
        <f t="shared" si="24"/>
        <v/>
      </c>
    </row>
    <row r="299" spans="1:14" x14ac:dyDescent="0.25">
      <c r="A299" s="2" t="s">
        <v>270</v>
      </c>
      <c r="B299" s="21"/>
      <c r="C299" s="3"/>
      <c r="D299" s="14"/>
      <c r="E299" s="31"/>
      <c r="F299" s="45" t="s">
        <v>700</v>
      </c>
      <c r="G299" s="20">
        <f t="shared" si="21"/>
        <v>1</v>
      </c>
      <c r="H299" s="18"/>
      <c r="I299" s="19">
        <f t="shared" si="22"/>
        <v>0</v>
      </c>
      <c r="J299" s="19"/>
      <c r="K299" s="20"/>
      <c r="L299" s="19"/>
      <c r="M299" t="str">
        <f t="shared" si="23"/>
        <v/>
      </c>
      <c r="N299" t="str">
        <f t="shared" si="24"/>
        <v/>
      </c>
    </row>
    <row r="300" spans="1:14" x14ac:dyDescent="0.25">
      <c r="A300" s="4" t="s">
        <v>362</v>
      </c>
      <c r="B300" s="1"/>
      <c r="C300" s="5" t="s">
        <v>5</v>
      </c>
      <c r="D300" s="13"/>
      <c r="E300" s="30"/>
      <c r="F300" s="43"/>
      <c r="G300" s="20">
        <f t="shared" si="21"/>
        <v>1</v>
      </c>
      <c r="H300" s="18"/>
      <c r="I300" s="19">
        <f t="shared" si="22"/>
        <v>1</v>
      </c>
      <c r="J300" s="19"/>
      <c r="K300" s="20"/>
      <c r="L300" s="19"/>
      <c r="M300" t="str">
        <f t="shared" si="23"/>
        <v/>
      </c>
      <c r="N300" t="str">
        <f t="shared" si="24"/>
        <v/>
      </c>
    </row>
    <row r="301" spans="1:14" x14ac:dyDescent="0.25">
      <c r="A301" s="4" t="s">
        <v>389</v>
      </c>
      <c r="B301" s="1"/>
      <c r="C301" s="5" t="s">
        <v>5</v>
      </c>
      <c r="D301" s="13" t="s">
        <v>422</v>
      </c>
      <c r="E301" s="30"/>
      <c r="F301" s="43"/>
      <c r="G301" s="20">
        <f t="shared" si="21"/>
        <v>1</v>
      </c>
      <c r="H301" s="18"/>
      <c r="I301" s="19">
        <f t="shared" si="22"/>
        <v>1</v>
      </c>
      <c r="J301" s="19"/>
      <c r="K301" s="20"/>
      <c r="L301" s="19"/>
      <c r="M301" t="str">
        <f t="shared" si="23"/>
        <v/>
      </c>
      <c r="N301" t="str">
        <f t="shared" si="24"/>
        <v/>
      </c>
    </row>
    <row r="302" spans="1:14" x14ac:dyDescent="0.25">
      <c r="A302" s="34" t="s">
        <v>542</v>
      </c>
      <c r="B302" s="25"/>
      <c r="C302" s="35"/>
      <c r="D302" s="36"/>
      <c r="E302" s="37"/>
      <c r="F302" s="70" t="s">
        <v>701</v>
      </c>
      <c r="G302" s="20">
        <f t="shared" si="21"/>
        <v>1</v>
      </c>
      <c r="H302" s="18"/>
      <c r="I302" s="19">
        <f t="shared" si="22"/>
        <v>0</v>
      </c>
      <c r="J302" s="19"/>
      <c r="K302" s="20"/>
      <c r="L302" s="19"/>
      <c r="M302" t="str">
        <f t="shared" si="23"/>
        <v/>
      </c>
      <c r="N302" t="str">
        <f t="shared" si="24"/>
        <v/>
      </c>
    </row>
    <row r="303" spans="1:14" x14ac:dyDescent="0.25">
      <c r="A303" s="2" t="s">
        <v>279</v>
      </c>
      <c r="B303" s="21"/>
      <c r="C303" s="3"/>
      <c r="D303" s="14" t="s">
        <v>702</v>
      </c>
      <c r="E303" s="31"/>
      <c r="F303" s="45" t="s">
        <v>703</v>
      </c>
      <c r="G303" s="20">
        <f t="shared" si="21"/>
        <v>1</v>
      </c>
      <c r="H303" s="18"/>
      <c r="I303" s="19">
        <f t="shared" si="22"/>
        <v>0</v>
      </c>
      <c r="J303" s="19"/>
      <c r="K303" s="20"/>
      <c r="L303" s="19"/>
      <c r="M303" t="str">
        <f t="shared" si="23"/>
        <v/>
      </c>
      <c r="N303" t="str">
        <f t="shared" si="24"/>
        <v/>
      </c>
    </row>
    <row r="304" spans="1:14" x14ac:dyDescent="0.25">
      <c r="A304" s="4" t="s">
        <v>15</v>
      </c>
      <c r="B304" s="1"/>
      <c r="C304" s="5" t="s">
        <v>5</v>
      </c>
      <c r="D304" s="13"/>
      <c r="E304" s="30"/>
      <c r="F304" s="43"/>
      <c r="G304" s="20">
        <f t="shared" si="21"/>
        <v>1</v>
      </c>
      <c r="H304" s="18"/>
      <c r="I304" s="19">
        <f t="shared" si="22"/>
        <v>1</v>
      </c>
      <c r="J304" s="19"/>
      <c r="K304" s="20"/>
      <c r="L304" s="19"/>
      <c r="M304" t="str">
        <f t="shared" si="23"/>
        <v/>
      </c>
      <c r="N304" t="str">
        <f t="shared" si="24"/>
        <v/>
      </c>
    </row>
    <row r="305" spans="1:14" x14ac:dyDescent="0.25">
      <c r="A305" s="4" t="s">
        <v>11</v>
      </c>
      <c r="B305" s="1"/>
      <c r="C305" s="5" t="s">
        <v>5</v>
      </c>
      <c r="D305" s="13"/>
      <c r="E305" s="30"/>
      <c r="F305" s="43"/>
      <c r="G305" s="20">
        <f t="shared" si="21"/>
        <v>1</v>
      </c>
      <c r="H305" s="18"/>
      <c r="I305" s="19">
        <f t="shared" si="22"/>
        <v>1</v>
      </c>
      <c r="J305" s="19"/>
      <c r="K305" s="20"/>
      <c r="L305" s="19"/>
      <c r="M305" t="str">
        <f t="shared" si="23"/>
        <v/>
      </c>
      <c r="N305" t="str">
        <f t="shared" si="24"/>
        <v/>
      </c>
    </row>
    <row r="306" spans="1:14" x14ac:dyDescent="0.25">
      <c r="A306" s="2" t="s">
        <v>325</v>
      </c>
      <c r="B306" s="21"/>
      <c r="C306" s="3"/>
      <c r="D306" s="14" t="s">
        <v>702</v>
      </c>
      <c r="E306" s="31"/>
      <c r="F306" s="45" t="s">
        <v>704</v>
      </c>
      <c r="G306" s="20">
        <f t="shared" si="21"/>
        <v>1</v>
      </c>
      <c r="H306" s="18"/>
      <c r="I306" s="19">
        <f t="shared" si="22"/>
        <v>0</v>
      </c>
      <c r="J306" s="19"/>
      <c r="K306" s="20"/>
      <c r="L306" s="19"/>
      <c r="M306" t="str">
        <f t="shared" si="23"/>
        <v/>
      </c>
      <c r="N306" t="str">
        <f t="shared" si="24"/>
        <v/>
      </c>
    </row>
    <row r="307" spans="1:14" x14ac:dyDescent="0.25">
      <c r="A307" s="2" t="s">
        <v>209</v>
      </c>
      <c r="B307" s="21"/>
      <c r="C307" s="3"/>
      <c r="D307" s="14"/>
      <c r="E307" s="31"/>
      <c r="F307" s="45" t="s">
        <v>705</v>
      </c>
      <c r="G307" s="20">
        <f t="shared" si="21"/>
        <v>1</v>
      </c>
      <c r="H307" s="18"/>
      <c r="I307" s="19">
        <f t="shared" si="22"/>
        <v>0</v>
      </c>
      <c r="J307" s="19"/>
      <c r="K307" s="20"/>
      <c r="L307" s="19"/>
      <c r="M307" t="str">
        <f t="shared" si="23"/>
        <v/>
      </c>
      <c r="N307" t="str">
        <f t="shared" si="24"/>
        <v/>
      </c>
    </row>
    <row r="308" spans="1:14" x14ac:dyDescent="0.25">
      <c r="A308" s="2" t="s">
        <v>348</v>
      </c>
      <c r="B308" s="21"/>
      <c r="C308" s="3"/>
      <c r="D308" s="14"/>
      <c r="E308" s="31"/>
      <c r="F308" s="45" t="s">
        <v>706</v>
      </c>
      <c r="G308" s="20">
        <f t="shared" si="21"/>
        <v>1</v>
      </c>
      <c r="H308" s="18"/>
      <c r="I308" s="19">
        <f t="shared" si="22"/>
        <v>0</v>
      </c>
      <c r="J308" s="19"/>
      <c r="K308" s="20"/>
      <c r="L308" s="19"/>
      <c r="M308" t="str">
        <f t="shared" si="23"/>
        <v/>
      </c>
      <c r="N308" t="str">
        <f t="shared" si="24"/>
        <v/>
      </c>
    </row>
    <row r="309" spans="1:14" x14ac:dyDescent="0.25">
      <c r="A309" s="2" t="s">
        <v>487</v>
      </c>
      <c r="B309" s="21"/>
      <c r="C309" s="3"/>
      <c r="D309" s="14"/>
      <c r="E309" s="31"/>
      <c r="F309" s="45" t="s">
        <v>707</v>
      </c>
      <c r="G309" s="20">
        <f t="shared" si="21"/>
        <v>1</v>
      </c>
      <c r="H309" s="18"/>
      <c r="I309" s="19">
        <f t="shared" si="22"/>
        <v>0</v>
      </c>
      <c r="J309" s="19"/>
      <c r="K309" s="20"/>
      <c r="L309" s="19"/>
      <c r="M309" t="str">
        <f t="shared" si="23"/>
        <v/>
      </c>
      <c r="N309" t="str">
        <f t="shared" si="24"/>
        <v/>
      </c>
    </row>
    <row r="310" spans="1:14" x14ac:dyDescent="0.25">
      <c r="A310" s="4" t="s">
        <v>336</v>
      </c>
      <c r="B310" s="1"/>
      <c r="C310" s="5" t="s">
        <v>5</v>
      </c>
      <c r="D310" s="13"/>
      <c r="E310" s="30"/>
      <c r="F310" s="43"/>
      <c r="G310" s="20">
        <f t="shared" si="21"/>
        <v>1</v>
      </c>
      <c r="H310" s="18"/>
      <c r="I310" s="19">
        <f t="shared" si="22"/>
        <v>1</v>
      </c>
      <c r="J310" s="19"/>
      <c r="K310" s="20"/>
      <c r="L310" s="19"/>
      <c r="M310" t="str">
        <f t="shared" si="23"/>
        <v/>
      </c>
      <c r="N310" t="str">
        <f t="shared" si="24"/>
        <v/>
      </c>
    </row>
    <row r="311" spans="1:14" x14ac:dyDescent="0.25">
      <c r="A311" s="4" t="s">
        <v>12</v>
      </c>
      <c r="B311" s="1"/>
      <c r="C311" s="5" t="s">
        <v>5</v>
      </c>
      <c r="D311" s="13"/>
      <c r="E311" s="30"/>
      <c r="F311" s="43"/>
      <c r="G311" s="20">
        <f t="shared" si="21"/>
        <v>1</v>
      </c>
      <c r="H311" s="18"/>
      <c r="I311" s="19">
        <f t="shared" si="22"/>
        <v>1</v>
      </c>
      <c r="J311" s="19"/>
      <c r="K311" s="20"/>
      <c r="L311" s="19"/>
      <c r="M311" t="str">
        <f t="shared" si="23"/>
        <v/>
      </c>
      <c r="N311" t="str">
        <f t="shared" si="24"/>
        <v/>
      </c>
    </row>
    <row r="312" spans="1:14" x14ac:dyDescent="0.25">
      <c r="A312" s="2" t="s">
        <v>359</v>
      </c>
      <c r="B312" s="21"/>
      <c r="C312" s="3"/>
      <c r="D312" s="14"/>
      <c r="E312" s="31"/>
      <c r="F312" s="45" t="s">
        <v>708</v>
      </c>
      <c r="G312" s="20">
        <f t="shared" si="21"/>
        <v>1</v>
      </c>
      <c r="H312" s="18"/>
      <c r="I312" s="19">
        <f t="shared" si="22"/>
        <v>0</v>
      </c>
      <c r="J312" s="19"/>
      <c r="K312" s="20"/>
      <c r="L312" s="19"/>
      <c r="M312" t="str">
        <f t="shared" si="23"/>
        <v/>
      </c>
      <c r="N312" t="str">
        <f t="shared" si="24"/>
        <v/>
      </c>
    </row>
    <row r="313" spans="1:14" x14ac:dyDescent="0.25">
      <c r="A313" s="2" t="s">
        <v>339</v>
      </c>
      <c r="B313" s="21"/>
      <c r="C313" s="3"/>
      <c r="D313" s="14"/>
      <c r="E313" s="31"/>
      <c r="F313" s="45" t="s">
        <v>709</v>
      </c>
      <c r="G313" s="20">
        <f t="shared" si="21"/>
        <v>1</v>
      </c>
      <c r="H313" s="18"/>
      <c r="I313" s="19">
        <f t="shared" si="22"/>
        <v>0</v>
      </c>
      <c r="J313" s="19"/>
      <c r="K313" s="20"/>
      <c r="L313" s="19"/>
      <c r="M313" t="str">
        <f t="shared" si="23"/>
        <v/>
      </c>
      <c r="N313" t="str">
        <f t="shared" si="24"/>
        <v/>
      </c>
    </row>
    <row r="314" spans="1:14" x14ac:dyDescent="0.25">
      <c r="A314" s="2" t="s">
        <v>280</v>
      </c>
      <c r="B314" s="21"/>
      <c r="C314" s="3"/>
      <c r="D314" s="14"/>
      <c r="E314" s="31"/>
      <c r="F314" s="45" t="s">
        <v>710</v>
      </c>
      <c r="G314" s="20">
        <f t="shared" si="21"/>
        <v>1</v>
      </c>
      <c r="H314" s="18"/>
      <c r="I314" s="19">
        <f t="shared" si="22"/>
        <v>0</v>
      </c>
      <c r="J314" s="19"/>
      <c r="K314" s="20"/>
      <c r="L314" s="19"/>
      <c r="M314" t="str">
        <f t="shared" si="23"/>
        <v/>
      </c>
      <c r="N314" t="str">
        <f t="shared" si="24"/>
        <v/>
      </c>
    </row>
    <row r="315" spans="1:14" x14ac:dyDescent="0.25">
      <c r="A315" s="2" t="s">
        <v>350</v>
      </c>
      <c r="B315" s="21"/>
      <c r="C315" s="3"/>
      <c r="D315" s="14"/>
      <c r="E315" s="31"/>
      <c r="F315" s="45" t="s">
        <v>711</v>
      </c>
      <c r="G315" s="20">
        <f t="shared" si="21"/>
        <v>1</v>
      </c>
      <c r="H315" s="18"/>
      <c r="I315" s="19">
        <f t="shared" si="22"/>
        <v>0</v>
      </c>
      <c r="J315" s="19"/>
      <c r="K315" s="20"/>
      <c r="L315" s="19"/>
      <c r="M315" t="str">
        <f t="shared" si="23"/>
        <v/>
      </c>
      <c r="N315" t="str">
        <f t="shared" si="24"/>
        <v/>
      </c>
    </row>
    <row r="316" spans="1:14" x14ac:dyDescent="0.25">
      <c r="A316" s="2" t="s">
        <v>484</v>
      </c>
      <c r="B316" s="21"/>
      <c r="C316" s="3"/>
      <c r="D316" s="14"/>
      <c r="E316" s="31"/>
      <c r="F316" s="45" t="s">
        <v>712</v>
      </c>
      <c r="G316" s="20">
        <f t="shared" si="21"/>
        <v>1</v>
      </c>
      <c r="H316" s="18"/>
      <c r="I316" s="19">
        <f t="shared" si="22"/>
        <v>0</v>
      </c>
      <c r="J316" s="19"/>
      <c r="K316" s="20"/>
      <c r="L316" s="19"/>
      <c r="M316" t="str">
        <f t="shared" si="23"/>
        <v/>
      </c>
      <c r="N316" t="str">
        <f t="shared" si="24"/>
        <v/>
      </c>
    </row>
    <row r="317" spans="1:14" x14ac:dyDescent="0.25">
      <c r="A317" s="4" t="s">
        <v>210</v>
      </c>
      <c r="B317" s="1"/>
      <c r="C317" s="5" t="s">
        <v>5</v>
      </c>
      <c r="D317" s="13" t="s">
        <v>430</v>
      </c>
      <c r="E317" s="30">
        <v>15</v>
      </c>
      <c r="F317" s="43"/>
      <c r="G317" s="20">
        <f t="shared" si="21"/>
        <v>1</v>
      </c>
      <c r="H317" s="18"/>
      <c r="I317" s="19">
        <f t="shared" si="22"/>
        <v>1</v>
      </c>
      <c r="J317" s="19"/>
      <c r="K317" s="20"/>
      <c r="L317" s="19"/>
      <c r="M317" t="str">
        <f t="shared" si="23"/>
        <v/>
      </c>
      <c r="N317" t="str">
        <f t="shared" si="24"/>
        <v/>
      </c>
    </row>
    <row r="318" spans="1:14" x14ac:dyDescent="0.25">
      <c r="A318" s="2" t="s">
        <v>285</v>
      </c>
      <c r="B318" s="21"/>
      <c r="C318" s="3"/>
      <c r="D318" s="14"/>
      <c r="E318" s="31"/>
      <c r="F318" s="45" t="s">
        <v>713</v>
      </c>
      <c r="G318" s="20">
        <f t="shared" si="21"/>
        <v>1</v>
      </c>
      <c r="H318" s="18"/>
      <c r="I318" s="19">
        <f t="shared" si="22"/>
        <v>0</v>
      </c>
      <c r="J318" s="19"/>
      <c r="K318" s="20"/>
      <c r="L318" s="19"/>
      <c r="M318" t="str">
        <f t="shared" si="23"/>
        <v/>
      </c>
      <c r="N318" t="str">
        <f t="shared" si="24"/>
        <v/>
      </c>
    </row>
    <row r="319" spans="1:14" x14ac:dyDescent="0.25">
      <c r="A319" s="2" t="s">
        <v>284</v>
      </c>
      <c r="B319" s="21"/>
      <c r="C319" s="3"/>
      <c r="D319" s="14"/>
      <c r="E319" s="31"/>
      <c r="F319" s="45" t="s">
        <v>714</v>
      </c>
      <c r="G319" s="20">
        <f t="shared" si="21"/>
        <v>1</v>
      </c>
      <c r="H319" s="18"/>
      <c r="I319" s="19">
        <f t="shared" si="22"/>
        <v>0</v>
      </c>
      <c r="J319" s="19"/>
      <c r="K319" s="20"/>
      <c r="L319" s="19"/>
      <c r="M319" t="str">
        <f t="shared" si="23"/>
        <v/>
      </c>
      <c r="N319" t="str">
        <f t="shared" si="24"/>
        <v/>
      </c>
    </row>
    <row r="320" spans="1:14" x14ac:dyDescent="0.25">
      <c r="A320" s="2" t="s">
        <v>441</v>
      </c>
      <c r="B320" s="21"/>
      <c r="C320" s="3"/>
      <c r="D320" s="14"/>
      <c r="E320" s="31"/>
      <c r="F320" s="45" t="s">
        <v>715</v>
      </c>
      <c r="G320" s="20">
        <f t="shared" si="21"/>
        <v>1</v>
      </c>
      <c r="H320" s="18"/>
      <c r="I320" s="19">
        <f t="shared" si="22"/>
        <v>0</v>
      </c>
      <c r="J320" s="19"/>
      <c r="K320" s="20"/>
      <c r="L320" s="19"/>
      <c r="M320" t="str">
        <f t="shared" si="23"/>
        <v/>
      </c>
      <c r="N320" t="str">
        <f t="shared" si="24"/>
        <v/>
      </c>
    </row>
    <row r="321" spans="1:14" x14ac:dyDescent="0.25">
      <c r="A321" s="2" t="s">
        <v>221</v>
      </c>
      <c r="B321" s="21"/>
      <c r="C321" s="3"/>
      <c r="D321" s="14" t="s">
        <v>465</v>
      </c>
      <c r="E321" s="31"/>
      <c r="F321" s="45" t="s">
        <v>716</v>
      </c>
      <c r="G321" s="20">
        <f t="shared" si="21"/>
        <v>1</v>
      </c>
      <c r="H321" s="18"/>
      <c r="I321" s="19">
        <f t="shared" si="22"/>
        <v>0</v>
      </c>
      <c r="J321" s="19"/>
      <c r="K321" s="20"/>
      <c r="L321" s="19"/>
      <c r="M321" t="str">
        <f t="shared" si="23"/>
        <v/>
      </c>
      <c r="N321" t="str">
        <f t="shared" si="24"/>
        <v/>
      </c>
    </row>
    <row r="322" spans="1:14" x14ac:dyDescent="0.25">
      <c r="A322" s="2" t="s">
        <v>222</v>
      </c>
      <c r="B322" s="21"/>
      <c r="C322" s="3"/>
      <c r="D322" s="14"/>
      <c r="E322" s="31"/>
      <c r="F322" s="45" t="s">
        <v>717</v>
      </c>
      <c r="G322" s="20">
        <f t="shared" si="21"/>
        <v>1</v>
      </c>
      <c r="H322" s="18"/>
      <c r="I322" s="19">
        <f t="shared" si="22"/>
        <v>0</v>
      </c>
      <c r="J322" s="19"/>
      <c r="K322" s="20"/>
      <c r="L322" s="19"/>
      <c r="M322" t="str">
        <f t="shared" si="23"/>
        <v/>
      </c>
      <c r="N322" t="str">
        <f t="shared" si="24"/>
        <v/>
      </c>
    </row>
    <row r="323" spans="1:14" x14ac:dyDescent="0.25">
      <c r="A323" s="4" t="s">
        <v>116</v>
      </c>
      <c r="B323" s="1"/>
      <c r="C323" s="5" t="s">
        <v>303</v>
      </c>
      <c r="D323" s="13" t="s">
        <v>430</v>
      </c>
      <c r="E323" s="30">
        <v>15</v>
      </c>
      <c r="F323" s="43"/>
      <c r="G323" s="20">
        <f t="shared" si="21"/>
        <v>1</v>
      </c>
      <c r="H323" s="18"/>
      <c r="I323" s="19">
        <f t="shared" si="22"/>
        <v>1</v>
      </c>
      <c r="J323" s="19"/>
      <c r="K323" s="20"/>
      <c r="L323" s="19"/>
      <c r="M323" t="str">
        <f t="shared" si="23"/>
        <v/>
      </c>
      <c r="N323" t="str">
        <f t="shared" si="24"/>
        <v/>
      </c>
    </row>
    <row r="324" spans="1:14" x14ac:dyDescent="0.25">
      <c r="A324" s="2" t="s">
        <v>500</v>
      </c>
      <c r="B324" s="21"/>
      <c r="C324" s="3"/>
      <c r="D324" s="14" t="s">
        <v>719</v>
      </c>
      <c r="E324" s="31"/>
      <c r="F324" s="45" t="s">
        <v>718</v>
      </c>
      <c r="G324" s="20">
        <f t="shared" si="21"/>
        <v>1</v>
      </c>
      <c r="H324" s="18"/>
      <c r="I324" s="19">
        <f t="shared" si="22"/>
        <v>0</v>
      </c>
      <c r="J324" s="19"/>
      <c r="K324" s="20"/>
      <c r="L324" s="19"/>
    </row>
    <row r="325" spans="1:14" x14ac:dyDescent="0.25">
      <c r="A325" s="2" t="s">
        <v>14</v>
      </c>
      <c r="B325" s="21"/>
      <c r="C325" s="3"/>
      <c r="D325" s="14"/>
      <c r="E325" s="31"/>
      <c r="F325" s="45" t="s">
        <v>720</v>
      </c>
      <c r="G325" s="20">
        <f t="shared" si="21"/>
        <v>1</v>
      </c>
      <c r="H325" s="18"/>
      <c r="I325" s="19">
        <f t="shared" si="22"/>
        <v>0</v>
      </c>
      <c r="J325" s="19"/>
      <c r="K325" s="20"/>
      <c r="L325" s="19"/>
      <c r="M325" t="str">
        <f t="shared" si="23"/>
        <v/>
      </c>
      <c r="N325" t="str">
        <f t="shared" si="24"/>
        <v/>
      </c>
    </row>
    <row r="326" spans="1:14" x14ac:dyDescent="0.25">
      <c r="A326" s="4" t="s">
        <v>244</v>
      </c>
      <c r="B326" s="1"/>
      <c r="C326" s="5" t="s">
        <v>5</v>
      </c>
      <c r="D326" s="13"/>
      <c r="E326" s="30"/>
      <c r="F326" s="43"/>
      <c r="G326" s="20">
        <f t="shared" si="21"/>
        <v>1</v>
      </c>
      <c r="H326" s="18"/>
      <c r="I326" s="19">
        <f t="shared" si="22"/>
        <v>1</v>
      </c>
      <c r="J326" s="19"/>
      <c r="K326" s="20"/>
      <c r="L326" s="19"/>
      <c r="M326" t="str">
        <f t="shared" si="23"/>
        <v/>
      </c>
      <c r="N326" t="str">
        <f t="shared" si="24"/>
        <v/>
      </c>
    </row>
    <row r="327" spans="1:14" x14ac:dyDescent="0.25">
      <c r="A327" s="4" t="s">
        <v>233</v>
      </c>
      <c r="B327" s="1"/>
      <c r="C327" s="5" t="s">
        <v>5</v>
      </c>
      <c r="D327" s="13"/>
      <c r="E327" s="30"/>
      <c r="F327" s="43"/>
      <c r="G327" s="20">
        <f t="shared" si="21"/>
        <v>1</v>
      </c>
      <c r="H327" s="18"/>
      <c r="I327" s="19">
        <f t="shared" si="22"/>
        <v>1</v>
      </c>
      <c r="J327" s="19"/>
      <c r="K327" s="20"/>
      <c r="L327" s="19"/>
      <c r="M327" t="str">
        <f t="shared" si="23"/>
        <v/>
      </c>
      <c r="N327" t="str">
        <f t="shared" si="24"/>
        <v/>
      </c>
    </row>
    <row r="328" spans="1:14" x14ac:dyDescent="0.25">
      <c r="A328" s="4" t="s">
        <v>444</v>
      </c>
      <c r="B328" s="1"/>
      <c r="C328" s="5" t="s">
        <v>5</v>
      </c>
      <c r="D328" s="13" t="s">
        <v>455</v>
      </c>
      <c r="E328" s="30">
        <v>12</v>
      </c>
      <c r="F328" s="43"/>
      <c r="G328" s="20">
        <f t="shared" si="21"/>
        <v>1</v>
      </c>
      <c r="H328" s="18"/>
      <c r="I328" s="19">
        <f t="shared" si="22"/>
        <v>1</v>
      </c>
      <c r="J328" s="19"/>
      <c r="K328" s="20"/>
      <c r="L328" s="19"/>
      <c r="M328" t="str">
        <f t="shared" si="23"/>
        <v/>
      </c>
      <c r="N328" t="str">
        <f t="shared" si="24"/>
        <v/>
      </c>
    </row>
    <row r="329" spans="1:14" x14ac:dyDescent="0.25">
      <c r="A329" s="2" t="s">
        <v>223</v>
      </c>
      <c r="B329" s="21"/>
      <c r="C329" s="3"/>
      <c r="D329" s="14"/>
      <c r="E329" s="31"/>
      <c r="F329" s="45" t="s">
        <v>721</v>
      </c>
      <c r="G329" s="20">
        <f t="shared" ref="G329:G391" si="25">COUNTA(A329)</f>
        <v>1</v>
      </c>
      <c r="H329" s="18"/>
      <c r="I329" s="19">
        <f t="shared" ref="I329:I391" si="26">COUNTA(C329)</f>
        <v>0</v>
      </c>
      <c r="J329" s="19"/>
      <c r="K329" s="20"/>
      <c r="L329" s="19"/>
      <c r="M329" t="str">
        <f t="shared" si="23"/>
        <v/>
      </c>
      <c r="N329" t="str">
        <f t="shared" si="24"/>
        <v/>
      </c>
    </row>
    <row r="330" spans="1:14" x14ac:dyDescent="0.25">
      <c r="A330" s="4" t="s">
        <v>117</v>
      </c>
      <c r="B330" s="1"/>
      <c r="C330" s="5" t="s">
        <v>5</v>
      </c>
      <c r="D330" s="13" t="s">
        <v>461</v>
      </c>
      <c r="E330" s="30">
        <v>23</v>
      </c>
      <c r="F330" s="43"/>
      <c r="G330" s="20">
        <f t="shared" si="25"/>
        <v>1</v>
      </c>
      <c r="H330" s="18"/>
      <c r="I330" s="19">
        <f t="shared" si="26"/>
        <v>1</v>
      </c>
      <c r="J330" s="19"/>
      <c r="K330" s="20"/>
      <c r="L330" s="19"/>
      <c r="M330" t="str">
        <f t="shared" si="23"/>
        <v/>
      </c>
      <c r="N330" t="str">
        <f t="shared" si="24"/>
        <v/>
      </c>
    </row>
    <row r="331" spans="1:14" x14ac:dyDescent="0.25">
      <c r="A331" s="2" t="s">
        <v>118</v>
      </c>
      <c r="B331" s="21"/>
      <c r="C331" s="3"/>
      <c r="D331" s="14"/>
      <c r="E331" s="31"/>
      <c r="F331" s="45" t="s">
        <v>722</v>
      </c>
      <c r="G331" s="20">
        <f t="shared" si="25"/>
        <v>1</v>
      </c>
      <c r="H331" s="18"/>
      <c r="I331" s="19">
        <f t="shared" si="26"/>
        <v>0</v>
      </c>
      <c r="J331" s="19"/>
      <c r="K331" s="20"/>
      <c r="L331" s="19"/>
      <c r="M331" t="str">
        <f t="shared" si="23"/>
        <v/>
      </c>
      <c r="N331" t="str">
        <f t="shared" si="24"/>
        <v/>
      </c>
    </row>
    <row r="332" spans="1:14" x14ac:dyDescent="0.25">
      <c r="A332" s="4" t="s">
        <v>119</v>
      </c>
      <c r="B332" s="1"/>
      <c r="C332" s="5" t="s">
        <v>5</v>
      </c>
      <c r="D332" s="13" t="s">
        <v>430</v>
      </c>
      <c r="E332" s="30">
        <v>25</v>
      </c>
      <c r="F332" s="43"/>
      <c r="G332" s="20">
        <f t="shared" si="25"/>
        <v>1</v>
      </c>
      <c r="H332" s="18"/>
      <c r="I332" s="19">
        <f t="shared" si="26"/>
        <v>1</v>
      </c>
      <c r="J332" s="19"/>
      <c r="K332" s="20"/>
      <c r="L332" s="19"/>
      <c r="M332" t="str">
        <f t="shared" si="23"/>
        <v/>
      </c>
      <c r="N332" t="str">
        <f t="shared" si="24"/>
        <v/>
      </c>
    </row>
    <row r="333" spans="1:14" x14ac:dyDescent="0.25">
      <c r="A333" s="4" t="s">
        <v>120</v>
      </c>
      <c r="B333" s="1"/>
      <c r="C333" s="5" t="s">
        <v>5</v>
      </c>
      <c r="D333" s="13"/>
      <c r="E333" s="30"/>
      <c r="F333" s="43"/>
      <c r="G333" s="20">
        <f t="shared" si="25"/>
        <v>1</v>
      </c>
      <c r="H333" s="18"/>
      <c r="I333" s="19">
        <f t="shared" si="26"/>
        <v>1</v>
      </c>
      <c r="J333" s="19"/>
      <c r="K333" s="20"/>
      <c r="L333" s="19"/>
      <c r="M333" t="str">
        <f t="shared" si="23"/>
        <v/>
      </c>
      <c r="N333" t="str">
        <f t="shared" si="24"/>
        <v/>
      </c>
    </row>
    <row r="334" spans="1:14" x14ac:dyDescent="0.25">
      <c r="A334" s="2" t="s">
        <v>379</v>
      </c>
      <c r="B334" s="21"/>
      <c r="C334" s="3"/>
      <c r="D334" s="14"/>
      <c r="E334" s="31"/>
      <c r="F334" s="45" t="s">
        <v>723</v>
      </c>
      <c r="G334" s="20">
        <f t="shared" si="25"/>
        <v>1</v>
      </c>
      <c r="H334" s="18"/>
      <c r="I334" s="19">
        <f t="shared" si="26"/>
        <v>0</v>
      </c>
      <c r="J334" s="19"/>
      <c r="K334" s="20"/>
      <c r="L334" s="19"/>
      <c r="M334" t="str">
        <f t="shared" si="23"/>
        <v/>
      </c>
      <c r="N334" t="str">
        <f t="shared" si="24"/>
        <v/>
      </c>
    </row>
    <row r="335" spans="1:14" x14ac:dyDescent="0.25">
      <c r="A335" s="4" t="s">
        <v>121</v>
      </c>
      <c r="B335" s="1"/>
      <c r="C335" s="5" t="s">
        <v>5</v>
      </c>
      <c r="D335" s="13"/>
      <c r="E335" s="30"/>
      <c r="F335" s="43"/>
      <c r="G335" s="20">
        <f t="shared" si="25"/>
        <v>1</v>
      </c>
      <c r="H335" s="18"/>
      <c r="I335" s="19">
        <f t="shared" si="26"/>
        <v>1</v>
      </c>
      <c r="J335" s="19"/>
      <c r="K335" s="20"/>
      <c r="L335" s="19"/>
      <c r="M335" t="str">
        <f t="shared" si="23"/>
        <v/>
      </c>
      <c r="N335" t="str">
        <f t="shared" si="24"/>
        <v/>
      </c>
    </row>
    <row r="336" spans="1:14" x14ac:dyDescent="0.25">
      <c r="A336" s="4" t="s">
        <v>530</v>
      </c>
      <c r="B336" s="1"/>
      <c r="C336" s="5" t="s">
        <v>5</v>
      </c>
      <c r="D336" s="13" t="s">
        <v>524</v>
      </c>
      <c r="E336" s="30">
        <v>15</v>
      </c>
      <c r="F336" s="43">
        <v>6</v>
      </c>
      <c r="G336" s="20">
        <f t="shared" si="25"/>
        <v>1</v>
      </c>
      <c r="H336" s="18"/>
      <c r="I336" s="19">
        <f t="shared" si="26"/>
        <v>1</v>
      </c>
      <c r="J336" s="19"/>
      <c r="K336" s="20"/>
      <c r="L336" s="19"/>
      <c r="M336" t="str">
        <f t="shared" si="23"/>
        <v/>
      </c>
      <c r="N336" t="str">
        <f t="shared" si="24"/>
        <v/>
      </c>
    </row>
    <row r="337" spans="1:14" x14ac:dyDescent="0.25">
      <c r="A337" s="4" t="s">
        <v>287</v>
      </c>
      <c r="B337" s="1"/>
      <c r="C337" s="5" t="s">
        <v>5</v>
      </c>
      <c r="D337" s="13"/>
      <c r="E337" s="30"/>
      <c r="F337" s="43"/>
      <c r="G337" s="20">
        <f t="shared" si="25"/>
        <v>1</v>
      </c>
      <c r="H337" s="18"/>
      <c r="I337" s="19">
        <f t="shared" si="26"/>
        <v>1</v>
      </c>
      <c r="J337" s="19"/>
      <c r="K337" s="20"/>
      <c r="L337" s="19"/>
      <c r="M337" t="str">
        <f t="shared" si="23"/>
        <v/>
      </c>
      <c r="N337" t="str">
        <f t="shared" si="24"/>
        <v/>
      </c>
    </row>
    <row r="338" spans="1:14" x14ac:dyDescent="0.25">
      <c r="A338" s="4" t="s">
        <v>268</v>
      </c>
      <c r="B338" s="1"/>
      <c r="C338" s="5" t="s">
        <v>5</v>
      </c>
      <c r="D338" s="13"/>
      <c r="E338" s="30"/>
      <c r="F338" s="43"/>
      <c r="G338" s="20">
        <f t="shared" si="25"/>
        <v>1</v>
      </c>
      <c r="H338" s="18"/>
      <c r="I338" s="19">
        <f t="shared" si="26"/>
        <v>1</v>
      </c>
      <c r="J338" s="19"/>
      <c r="K338" s="20"/>
      <c r="L338" s="19"/>
      <c r="M338" t="str">
        <f t="shared" si="23"/>
        <v/>
      </c>
      <c r="N338" t="str">
        <f t="shared" si="24"/>
        <v/>
      </c>
    </row>
    <row r="339" spans="1:14" x14ac:dyDescent="0.25">
      <c r="A339" s="2" t="s">
        <v>355</v>
      </c>
      <c r="B339" s="21"/>
      <c r="C339" s="3"/>
      <c r="D339" s="14"/>
      <c r="E339" s="31"/>
      <c r="F339" s="45" t="s">
        <v>724</v>
      </c>
      <c r="G339" s="20">
        <f t="shared" si="25"/>
        <v>1</v>
      </c>
      <c r="H339" s="18"/>
      <c r="I339" s="19">
        <f t="shared" si="26"/>
        <v>0</v>
      </c>
      <c r="J339" s="19"/>
      <c r="K339" s="20"/>
      <c r="L339" s="19"/>
      <c r="M339" t="str">
        <f t="shared" si="23"/>
        <v/>
      </c>
      <c r="N339" t="str">
        <f t="shared" si="24"/>
        <v/>
      </c>
    </row>
    <row r="340" spans="1:14" x14ac:dyDescent="0.25">
      <c r="A340" s="2" t="s">
        <v>771</v>
      </c>
      <c r="B340" s="21"/>
      <c r="C340" s="3"/>
      <c r="D340" s="14"/>
      <c r="E340" s="31"/>
      <c r="F340" s="45" t="s">
        <v>770</v>
      </c>
      <c r="G340" s="20">
        <f t="shared" si="25"/>
        <v>1</v>
      </c>
      <c r="H340" s="18"/>
      <c r="I340" s="19">
        <f t="shared" si="26"/>
        <v>0</v>
      </c>
      <c r="J340" s="19"/>
      <c r="K340" s="20"/>
      <c r="L340" s="19"/>
      <c r="M340" t="str">
        <f t="shared" si="23"/>
        <v/>
      </c>
      <c r="N340" t="str">
        <f t="shared" si="24"/>
        <v/>
      </c>
    </row>
    <row r="341" spans="1:14" x14ac:dyDescent="0.25">
      <c r="A341" s="4" t="s">
        <v>122</v>
      </c>
      <c r="B341" s="1"/>
      <c r="C341" s="5" t="s">
        <v>5</v>
      </c>
      <c r="D341" s="13"/>
      <c r="E341" s="30"/>
      <c r="F341" s="43"/>
      <c r="G341" s="20">
        <f t="shared" si="25"/>
        <v>1</v>
      </c>
      <c r="H341" s="18"/>
      <c r="I341" s="19">
        <f t="shared" si="26"/>
        <v>1</v>
      </c>
      <c r="J341" s="19"/>
      <c r="K341" s="20"/>
      <c r="L341" s="19"/>
      <c r="M341" t="str">
        <f t="shared" si="23"/>
        <v/>
      </c>
      <c r="N341" t="str">
        <f t="shared" si="24"/>
        <v/>
      </c>
    </row>
    <row r="342" spans="1:14" x14ac:dyDescent="0.25">
      <c r="A342" s="4" t="s">
        <v>17</v>
      </c>
      <c r="B342" s="1"/>
      <c r="C342" s="5" t="s">
        <v>5</v>
      </c>
      <c r="D342" s="13"/>
      <c r="E342" s="30"/>
      <c r="F342" s="43"/>
      <c r="G342" s="20">
        <f t="shared" si="25"/>
        <v>1</v>
      </c>
      <c r="H342" s="18"/>
      <c r="I342" s="19">
        <f t="shared" si="26"/>
        <v>1</v>
      </c>
      <c r="J342" s="19"/>
      <c r="K342" s="20"/>
      <c r="L342" s="19"/>
      <c r="M342" t="str">
        <f t="shared" si="23"/>
        <v/>
      </c>
      <c r="N342" t="str">
        <f t="shared" si="24"/>
        <v/>
      </c>
    </row>
    <row r="343" spans="1:14" x14ac:dyDescent="0.25">
      <c r="A343" s="4" t="s">
        <v>226</v>
      </c>
      <c r="B343" s="1"/>
      <c r="C343" s="5" t="s">
        <v>5</v>
      </c>
      <c r="D343" s="13"/>
      <c r="E343" s="30"/>
      <c r="F343" s="43"/>
      <c r="G343" s="20">
        <f t="shared" si="25"/>
        <v>1</v>
      </c>
      <c r="H343" s="18"/>
      <c r="I343" s="19">
        <f t="shared" si="26"/>
        <v>1</v>
      </c>
      <c r="J343" s="19"/>
      <c r="K343" s="20"/>
      <c r="L343" s="19"/>
      <c r="M343" t="str">
        <f t="shared" ref="M343:M406" si="27">IF(B343=1,E343,"")</f>
        <v/>
      </c>
      <c r="N343" t="str">
        <f t="shared" ref="N343:N406" si="28">IF(B343=2,E343,"")</f>
        <v/>
      </c>
    </row>
    <row r="344" spans="1:14" x14ac:dyDescent="0.25">
      <c r="A344" s="4" t="s">
        <v>123</v>
      </c>
      <c r="B344" s="1"/>
      <c r="C344" s="5" t="s">
        <v>303</v>
      </c>
      <c r="D344" s="13" t="s">
        <v>430</v>
      </c>
      <c r="E344" s="30">
        <v>25</v>
      </c>
      <c r="F344" s="43"/>
      <c r="G344" s="20">
        <f t="shared" si="25"/>
        <v>1</v>
      </c>
      <c r="H344" s="18"/>
      <c r="I344" s="19">
        <f t="shared" si="26"/>
        <v>1</v>
      </c>
      <c r="J344" s="19"/>
      <c r="K344" s="20"/>
      <c r="L344" s="19"/>
      <c r="M344" t="str">
        <f t="shared" si="27"/>
        <v/>
      </c>
      <c r="N344" t="str">
        <f t="shared" si="28"/>
        <v/>
      </c>
    </row>
    <row r="345" spans="1:14" x14ac:dyDescent="0.25">
      <c r="A345" s="4" t="s">
        <v>124</v>
      </c>
      <c r="B345" s="1"/>
      <c r="C345" s="5" t="s">
        <v>5</v>
      </c>
      <c r="D345" s="13" t="s">
        <v>545</v>
      </c>
      <c r="E345" s="30"/>
      <c r="F345" s="43"/>
      <c r="G345" s="20">
        <f t="shared" si="25"/>
        <v>1</v>
      </c>
      <c r="H345" s="18"/>
      <c r="I345" s="19">
        <f t="shared" si="26"/>
        <v>1</v>
      </c>
      <c r="J345" s="19"/>
      <c r="K345" s="20"/>
      <c r="L345" s="19"/>
      <c r="M345" t="str">
        <f t="shared" si="27"/>
        <v/>
      </c>
      <c r="N345" t="str">
        <f t="shared" si="28"/>
        <v/>
      </c>
    </row>
    <row r="346" spans="1:14" x14ac:dyDescent="0.25">
      <c r="A346" s="4" t="s">
        <v>411</v>
      </c>
      <c r="B346" s="1"/>
      <c r="C346" s="5" t="s">
        <v>5</v>
      </c>
      <c r="D346" s="13" t="s">
        <v>546</v>
      </c>
      <c r="E346" s="30"/>
      <c r="F346" s="43"/>
      <c r="G346" s="20">
        <f t="shared" si="25"/>
        <v>1</v>
      </c>
      <c r="H346" s="18"/>
      <c r="I346" s="19">
        <f t="shared" si="26"/>
        <v>1</v>
      </c>
      <c r="J346" s="19"/>
      <c r="K346" s="20"/>
      <c r="L346" s="19"/>
      <c r="M346" t="str">
        <f t="shared" si="27"/>
        <v/>
      </c>
      <c r="N346" t="str">
        <f t="shared" si="28"/>
        <v/>
      </c>
    </row>
    <row r="347" spans="1:14" x14ac:dyDescent="0.25">
      <c r="A347" s="4" t="s">
        <v>245</v>
      </c>
      <c r="B347" s="1"/>
      <c r="C347" s="5" t="s">
        <v>5</v>
      </c>
      <c r="D347" s="13"/>
      <c r="E347" s="30"/>
      <c r="F347" s="43"/>
      <c r="G347" s="20">
        <f t="shared" si="25"/>
        <v>1</v>
      </c>
      <c r="H347" s="18"/>
      <c r="I347" s="19">
        <f t="shared" si="26"/>
        <v>1</v>
      </c>
      <c r="J347" s="19"/>
      <c r="K347" s="20"/>
      <c r="L347" s="19"/>
      <c r="M347" t="str">
        <f t="shared" si="27"/>
        <v/>
      </c>
      <c r="N347" t="str">
        <f t="shared" si="28"/>
        <v/>
      </c>
    </row>
    <row r="348" spans="1:14" x14ac:dyDescent="0.25">
      <c r="A348" s="4" t="s">
        <v>211</v>
      </c>
      <c r="B348" s="1"/>
      <c r="C348" s="5" t="s">
        <v>5</v>
      </c>
      <c r="D348" s="13" t="s">
        <v>474</v>
      </c>
      <c r="E348" s="30"/>
      <c r="F348" s="43"/>
      <c r="G348" s="20">
        <f t="shared" si="25"/>
        <v>1</v>
      </c>
      <c r="H348" s="18"/>
      <c r="I348" s="19">
        <f t="shared" si="26"/>
        <v>1</v>
      </c>
      <c r="J348" s="19"/>
      <c r="K348" s="20"/>
      <c r="L348" s="19"/>
      <c r="M348" t="str">
        <f t="shared" si="27"/>
        <v/>
      </c>
      <c r="N348" t="str">
        <f t="shared" si="28"/>
        <v/>
      </c>
    </row>
    <row r="349" spans="1:14" x14ac:dyDescent="0.25">
      <c r="A349" s="2" t="s">
        <v>392</v>
      </c>
      <c r="B349" s="21"/>
      <c r="C349" s="3"/>
      <c r="D349" s="14"/>
      <c r="E349" s="31"/>
      <c r="F349" s="45" t="s">
        <v>725</v>
      </c>
      <c r="G349" s="20">
        <f t="shared" si="25"/>
        <v>1</v>
      </c>
      <c r="H349" s="18"/>
      <c r="I349" s="19">
        <f t="shared" si="26"/>
        <v>0</v>
      </c>
      <c r="J349" s="19"/>
      <c r="K349" s="20"/>
      <c r="L349" s="19"/>
      <c r="M349" t="str">
        <f t="shared" si="27"/>
        <v/>
      </c>
      <c r="N349" t="str">
        <f t="shared" si="28"/>
        <v/>
      </c>
    </row>
    <row r="350" spans="1:14" x14ac:dyDescent="0.25">
      <c r="A350" s="4" t="s">
        <v>286</v>
      </c>
      <c r="B350" s="1"/>
      <c r="C350" s="5" t="s">
        <v>5</v>
      </c>
      <c r="D350" s="13"/>
      <c r="E350" s="30"/>
      <c r="F350" s="43"/>
      <c r="G350" s="20">
        <f t="shared" si="25"/>
        <v>1</v>
      </c>
      <c r="H350" s="18"/>
      <c r="I350" s="19">
        <f t="shared" si="26"/>
        <v>1</v>
      </c>
      <c r="J350" s="19"/>
      <c r="K350" s="20"/>
      <c r="L350" s="19"/>
      <c r="M350" t="str">
        <f t="shared" si="27"/>
        <v/>
      </c>
      <c r="N350" t="str">
        <f t="shared" si="28"/>
        <v/>
      </c>
    </row>
    <row r="351" spans="1:14" x14ac:dyDescent="0.25">
      <c r="A351" s="2" t="s">
        <v>224</v>
      </c>
      <c r="B351" s="21"/>
      <c r="C351" s="3"/>
      <c r="D351" s="14"/>
      <c r="E351" s="31"/>
      <c r="F351" s="45" t="s">
        <v>726</v>
      </c>
      <c r="G351" s="20">
        <f t="shared" si="25"/>
        <v>1</v>
      </c>
      <c r="H351" s="18"/>
      <c r="I351" s="19">
        <f t="shared" si="26"/>
        <v>0</v>
      </c>
      <c r="J351" s="19"/>
      <c r="K351" s="20"/>
      <c r="L351" s="19"/>
      <c r="M351" t="str">
        <f t="shared" si="27"/>
        <v/>
      </c>
      <c r="N351" t="str">
        <f t="shared" si="28"/>
        <v/>
      </c>
    </row>
    <row r="352" spans="1:14" x14ac:dyDescent="0.25">
      <c r="A352" s="4" t="s">
        <v>190</v>
      </c>
      <c r="B352" s="1"/>
      <c r="C352" s="5" t="s">
        <v>5</v>
      </c>
      <c r="D352" s="13"/>
      <c r="E352" s="30"/>
      <c r="F352" s="43"/>
      <c r="G352" s="20">
        <f t="shared" si="25"/>
        <v>1</v>
      </c>
      <c r="H352" s="18"/>
      <c r="I352" s="19">
        <f t="shared" si="26"/>
        <v>1</v>
      </c>
      <c r="J352" s="19"/>
      <c r="K352" s="20"/>
      <c r="L352" s="19"/>
      <c r="M352" t="str">
        <f t="shared" si="27"/>
        <v/>
      </c>
      <c r="N352" t="str">
        <f t="shared" si="28"/>
        <v/>
      </c>
    </row>
    <row r="353" spans="1:14" x14ac:dyDescent="0.25">
      <c r="A353" s="4" t="s">
        <v>194</v>
      </c>
      <c r="B353" s="1"/>
      <c r="C353" s="5" t="s">
        <v>5</v>
      </c>
      <c r="D353" s="13"/>
      <c r="E353" s="30"/>
      <c r="F353" s="43"/>
      <c r="G353" s="20">
        <f t="shared" si="25"/>
        <v>1</v>
      </c>
      <c r="H353" s="18"/>
      <c r="I353" s="19">
        <f t="shared" si="26"/>
        <v>1</v>
      </c>
      <c r="J353" s="19"/>
      <c r="K353" s="20"/>
      <c r="L353" s="19"/>
      <c r="M353" t="str">
        <f t="shared" si="27"/>
        <v/>
      </c>
      <c r="N353" t="str">
        <f t="shared" si="28"/>
        <v/>
      </c>
    </row>
    <row r="354" spans="1:14" x14ac:dyDescent="0.25">
      <c r="A354" s="4" t="s">
        <v>181</v>
      </c>
      <c r="B354" s="1"/>
      <c r="C354" s="5" t="s">
        <v>5</v>
      </c>
      <c r="D354" s="13"/>
      <c r="E354" s="30"/>
      <c r="F354" s="43"/>
      <c r="G354" s="20">
        <f t="shared" si="25"/>
        <v>1</v>
      </c>
      <c r="H354" s="18"/>
      <c r="I354" s="19">
        <f t="shared" si="26"/>
        <v>1</v>
      </c>
      <c r="J354" s="19"/>
      <c r="K354" s="20"/>
      <c r="L354" s="19"/>
      <c r="M354" t="str">
        <f t="shared" si="27"/>
        <v/>
      </c>
      <c r="N354" t="str">
        <f t="shared" si="28"/>
        <v/>
      </c>
    </row>
    <row r="355" spans="1:14" x14ac:dyDescent="0.25">
      <c r="A355" s="2" t="s">
        <v>349</v>
      </c>
      <c r="B355" s="21"/>
      <c r="C355" s="3"/>
      <c r="D355" s="14"/>
      <c r="E355" s="31"/>
      <c r="F355" s="45" t="s">
        <v>727</v>
      </c>
      <c r="G355" s="20">
        <f t="shared" si="25"/>
        <v>1</v>
      </c>
      <c r="H355" s="18"/>
      <c r="I355" s="19">
        <f t="shared" si="26"/>
        <v>0</v>
      </c>
      <c r="J355" s="19"/>
      <c r="K355" s="20"/>
      <c r="L355" s="19"/>
      <c r="M355" t="str">
        <f t="shared" si="27"/>
        <v/>
      </c>
      <c r="N355" t="str">
        <f t="shared" si="28"/>
        <v/>
      </c>
    </row>
    <row r="356" spans="1:14" x14ac:dyDescent="0.25">
      <c r="A356" s="4" t="s">
        <v>125</v>
      </c>
      <c r="B356" s="1"/>
      <c r="C356" s="5" t="s">
        <v>5</v>
      </c>
      <c r="D356" s="13"/>
      <c r="E356" s="30"/>
      <c r="F356" s="43"/>
      <c r="G356" s="20">
        <f t="shared" si="25"/>
        <v>1</v>
      </c>
      <c r="H356" s="18"/>
      <c r="I356" s="19">
        <f t="shared" si="26"/>
        <v>1</v>
      </c>
      <c r="J356" s="19"/>
      <c r="K356" s="20"/>
      <c r="L356" s="19"/>
      <c r="M356" t="str">
        <f t="shared" si="27"/>
        <v/>
      </c>
      <c r="N356" t="str">
        <f t="shared" si="28"/>
        <v/>
      </c>
    </row>
    <row r="357" spans="1:14" x14ac:dyDescent="0.25">
      <c r="A357" s="4" t="s">
        <v>182</v>
      </c>
      <c r="B357" s="1"/>
      <c r="C357" s="5" t="s">
        <v>5</v>
      </c>
      <c r="D357" s="13"/>
      <c r="E357" s="30"/>
      <c r="F357" s="43"/>
      <c r="G357" s="20">
        <f t="shared" si="25"/>
        <v>1</v>
      </c>
      <c r="H357" s="18"/>
      <c r="I357" s="19">
        <f t="shared" si="26"/>
        <v>1</v>
      </c>
      <c r="J357" s="19"/>
      <c r="K357" s="20"/>
      <c r="L357" s="19"/>
      <c r="M357" t="str">
        <f t="shared" si="27"/>
        <v/>
      </c>
      <c r="N357" t="str">
        <f t="shared" si="28"/>
        <v/>
      </c>
    </row>
    <row r="358" spans="1:14" x14ac:dyDescent="0.25">
      <c r="A358" s="4" t="s">
        <v>376</v>
      </c>
      <c r="B358" s="1"/>
      <c r="C358" s="5" t="s">
        <v>5</v>
      </c>
      <c r="D358" s="13"/>
      <c r="E358" s="30"/>
      <c r="F358" s="43"/>
      <c r="G358" s="20">
        <f t="shared" si="25"/>
        <v>1</v>
      </c>
      <c r="H358" s="18"/>
      <c r="I358" s="19">
        <f t="shared" si="26"/>
        <v>1</v>
      </c>
      <c r="J358" s="19"/>
      <c r="K358" s="20"/>
      <c r="L358" s="19"/>
      <c r="M358" t="str">
        <f t="shared" si="27"/>
        <v/>
      </c>
      <c r="N358" t="str">
        <f t="shared" si="28"/>
        <v/>
      </c>
    </row>
    <row r="359" spans="1:14" x14ac:dyDescent="0.25">
      <c r="A359" s="4" t="s">
        <v>126</v>
      </c>
      <c r="B359" s="1"/>
      <c r="C359" s="5" t="s">
        <v>5</v>
      </c>
      <c r="D359" s="13"/>
      <c r="E359" s="30"/>
      <c r="F359" s="43"/>
      <c r="G359" s="20">
        <f t="shared" si="25"/>
        <v>1</v>
      </c>
      <c r="H359" s="18"/>
      <c r="I359" s="19">
        <f t="shared" si="26"/>
        <v>1</v>
      </c>
      <c r="J359" s="19"/>
      <c r="K359" s="20"/>
      <c r="L359" s="19"/>
      <c r="M359" t="str">
        <f t="shared" si="27"/>
        <v/>
      </c>
      <c r="N359" t="str">
        <f t="shared" si="28"/>
        <v/>
      </c>
    </row>
    <row r="360" spans="1:14" x14ac:dyDescent="0.25">
      <c r="A360" s="4" t="s">
        <v>302</v>
      </c>
      <c r="B360" s="1"/>
      <c r="C360" s="5" t="s">
        <v>5</v>
      </c>
      <c r="D360" s="13" t="s">
        <v>310</v>
      </c>
      <c r="E360" s="30"/>
      <c r="F360" s="43"/>
      <c r="G360" s="20">
        <f t="shared" si="25"/>
        <v>1</v>
      </c>
      <c r="H360" s="18"/>
      <c r="I360" s="19">
        <f t="shared" si="26"/>
        <v>1</v>
      </c>
      <c r="J360" s="19"/>
      <c r="K360" s="20"/>
      <c r="L360" s="19"/>
      <c r="M360" t="str">
        <f t="shared" si="27"/>
        <v/>
      </c>
      <c r="N360" t="str">
        <f t="shared" si="28"/>
        <v/>
      </c>
    </row>
    <row r="361" spans="1:14" x14ac:dyDescent="0.25">
      <c r="A361" s="4" t="s">
        <v>360</v>
      </c>
      <c r="B361" s="1"/>
      <c r="C361" s="5" t="s">
        <v>5</v>
      </c>
      <c r="D361" s="13"/>
      <c r="E361" s="30"/>
      <c r="F361" s="43"/>
      <c r="G361" s="20">
        <f t="shared" si="25"/>
        <v>1</v>
      </c>
      <c r="H361" s="18"/>
      <c r="I361" s="19">
        <f t="shared" si="26"/>
        <v>1</v>
      </c>
      <c r="J361" s="19"/>
      <c r="K361" s="20"/>
      <c r="L361" s="19"/>
      <c r="M361" t="str">
        <f t="shared" si="27"/>
        <v/>
      </c>
      <c r="N361" t="str">
        <f t="shared" si="28"/>
        <v/>
      </c>
    </row>
    <row r="362" spans="1:14" x14ac:dyDescent="0.25">
      <c r="A362" s="2" t="s">
        <v>237</v>
      </c>
      <c r="B362" s="21"/>
      <c r="C362" s="3"/>
      <c r="D362" s="14"/>
      <c r="E362" s="31"/>
      <c r="F362" s="45" t="s">
        <v>728</v>
      </c>
      <c r="G362" s="20">
        <f t="shared" si="25"/>
        <v>1</v>
      </c>
      <c r="H362" s="18"/>
      <c r="I362" s="19">
        <f t="shared" si="26"/>
        <v>0</v>
      </c>
      <c r="J362" s="19"/>
      <c r="K362" s="20"/>
      <c r="L362" s="19"/>
      <c r="M362" t="str">
        <f t="shared" si="27"/>
        <v/>
      </c>
      <c r="N362" t="str">
        <f t="shared" si="28"/>
        <v/>
      </c>
    </row>
    <row r="363" spans="1:14" x14ac:dyDescent="0.25">
      <c r="A363" s="4" t="s">
        <v>462</v>
      </c>
      <c r="B363" s="1"/>
      <c r="C363" s="5" t="s">
        <v>5</v>
      </c>
      <c r="D363" s="13" t="s">
        <v>463</v>
      </c>
      <c r="E363" s="30"/>
      <c r="F363" s="43"/>
      <c r="G363" s="20">
        <f t="shared" si="25"/>
        <v>1</v>
      </c>
      <c r="H363" s="18"/>
      <c r="I363" s="19">
        <f t="shared" si="26"/>
        <v>1</v>
      </c>
      <c r="J363" s="19"/>
      <c r="K363" s="20"/>
      <c r="L363" s="19"/>
      <c r="M363" t="str">
        <f t="shared" si="27"/>
        <v/>
      </c>
      <c r="N363" t="str">
        <f t="shared" si="28"/>
        <v/>
      </c>
    </row>
    <row r="364" spans="1:14" x14ac:dyDescent="0.25">
      <c r="A364" s="4" t="s">
        <v>127</v>
      </c>
      <c r="B364" s="1"/>
      <c r="C364" s="5" t="s">
        <v>5</v>
      </c>
      <c r="D364" s="13"/>
      <c r="E364" s="30"/>
      <c r="F364" s="43"/>
      <c r="G364" s="20">
        <f t="shared" si="25"/>
        <v>1</v>
      </c>
      <c r="H364" s="18"/>
      <c r="I364" s="19">
        <f t="shared" si="26"/>
        <v>1</v>
      </c>
      <c r="J364" s="19"/>
      <c r="K364" s="20"/>
      <c r="L364" s="19"/>
      <c r="M364" t="str">
        <f t="shared" si="27"/>
        <v/>
      </c>
      <c r="N364" t="str">
        <f t="shared" si="28"/>
        <v/>
      </c>
    </row>
    <row r="365" spans="1:14" x14ac:dyDescent="0.25">
      <c r="A365" s="4" t="s">
        <v>128</v>
      </c>
      <c r="B365" s="1"/>
      <c r="C365" s="5" t="s">
        <v>5</v>
      </c>
      <c r="D365" s="13"/>
      <c r="E365" s="30"/>
      <c r="F365" s="46"/>
      <c r="G365" s="20">
        <f t="shared" si="25"/>
        <v>1</v>
      </c>
      <c r="H365" s="18"/>
      <c r="I365" s="19">
        <f t="shared" si="26"/>
        <v>1</v>
      </c>
      <c r="J365" s="19"/>
      <c r="K365" s="20"/>
      <c r="L365" s="19"/>
      <c r="M365" t="str">
        <f t="shared" si="27"/>
        <v/>
      </c>
      <c r="N365" t="str">
        <f t="shared" si="28"/>
        <v/>
      </c>
    </row>
    <row r="366" spans="1:14" x14ac:dyDescent="0.25">
      <c r="A366" s="2" t="s">
        <v>129</v>
      </c>
      <c r="B366" s="21"/>
      <c r="C366" s="3"/>
      <c r="D366" s="14"/>
      <c r="E366" s="31"/>
      <c r="F366" s="45" t="s">
        <v>729</v>
      </c>
      <c r="G366" s="20">
        <f t="shared" si="25"/>
        <v>1</v>
      </c>
      <c r="H366" s="18"/>
      <c r="I366" s="19">
        <f t="shared" si="26"/>
        <v>0</v>
      </c>
      <c r="J366" s="19"/>
      <c r="K366" s="20"/>
      <c r="L366" s="19"/>
      <c r="M366" t="str">
        <f t="shared" si="27"/>
        <v/>
      </c>
      <c r="N366" t="str">
        <f t="shared" si="28"/>
        <v/>
      </c>
    </row>
    <row r="367" spans="1:14" x14ac:dyDescent="0.25">
      <c r="A367" s="2" t="s">
        <v>481</v>
      </c>
      <c r="B367" s="21"/>
      <c r="C367" s="3"/>
      <c r="D367" s="14"/>
      <c r="E367" s="31"/>
      <c r="F367" s="45" t="s">
        <v>730</v>
      </c>
      <c r="G367" s="20">
        <f t="shared" si="25"/>
        <v>1</v>
      </c>
      <c r="H367" s="18"/>
      <c r="I367" s="19">
        <f t="shared" si="26"/>
        <v>0</v>
      </c>
      <c r="J367" s="19"/>
      <c r="K367" s="20"/>
      <c r="L367" s="19"/>
      <c r="M367" t="str">
        <f t="shared" si="27"/>
        <v/>
      </c>
      <c r="N367" t="str">
        <f t="shared" si="28"/>
        <v/>
      </c>
    </row>
    <row r="368" spans="1:14" x14ac:dyDescent="0.25">
      <c r="A368" s="2" t="s">
        <v>380</v>
      </c>
      <c r="B368" s="21"/>
      <c r="C368" s="3"/>
      <c r="D368" s="14" t="s">
        <v>489</v>
      </c>
      <c r="E368" s="31"/>
      <c r="F368" s="45" t="s">
        <v>731</v>
      </c>
      <c r="G368" s="20">
        <f t="shared" si="25"/>
        <v>1</v>
      </c>
      <c r="H368" s="18"/>
      <c r="I368" s="19">
        <f t="shared" si="26"/>
        <v>0</v>
      </c>
      <c r="J368" s="19"/>
      <c r="K368" s="20"/>
      <c r="L368" s="19"/>
      <c r="M368" t="str">
        <f t="shared" si="27"/>
        <v/>
      </c>
      <c r="N368" t="str">
        <f t="shared" si="28"/>
        <v/>
      </c>
    </row>
    <row r="369" spans="1:14" x14ac:dyDescent="0.25">
      <c r="A369" s="2" t="s">
        <v>212</v>
      </c>
      <c r="B369" s="21"/>
      <c r="C369" s="3"/>
      <c r="D369" s="14"/>
      <c r="E369" s="31"/>
      <c r="F369" s="45" t="s">
        <v>732</v>
      </c>
      <c r="G369" s="20">
        <f t="shared" si="25"/>
        <v>1</v>
      </c>
      <c r="H369" s="18"/>
      <c r="I369" s="19">
        <f t="shared" si="26"/>
        <v>0</v>
      </c>
      <c r="J369" s="19"/>
      <c r="K369" s="20"/>
      <c r="L369" s="19"/>
      <c r="M369" t="str">
        <f t="shared" si="27"/>
        <v/>
      </c>
      <c r="N369" t="str">
        <f t="shared" si="28"/>
        <v/>
      </c>
    </row>
    <row r="370" spans="1:14" x14ac:dyDescent="0.25">
      <c r="A370" s="4" t="s">
        <v>130</v>
      </c>
      <c r="B370" s="1"/>
      <c r="C370" s="5" t="s">
        <v>5</v>
      </c>
      <c r="D370" s="13" t="s">
        <v>454</v>
      </c>
      <c r="E370" s="30">
        <v>15.25</v>
      </c>
      <c r="F370" s="46"/>
      <c r="G370" s="20">
        <f t="shared" si="25"/>
        <v>1</v>
      </c>
      <c r="H370" s="18"/>
      <c r="I370" s="19">
        <f t="shared" si="26"/>
        <v>1</v>
      </c>
      <c r="J370" s="19"/>
      <c r="K370" s="20"/>
      <c r="L370" s="19"/>
      <c r="M370" t="str">
        <f t="shared" si="27"/>
        <v/>
      </c>
      <c r="N370" t="str">
        <f t="shared" si="28"/>
        <v/>
      </c>
    </row>
    <row r="371" spans="1:14" x14ac:dyDescent="0.25">
      <c r="A371" s="4" t="s">
        <v>183</v>
      </c>
      <c r="B371" s="1"/>
      <c r="C371" s="5" t="s">
        <v>5</v>
      </c>
      <c r="D371" s="13"/>
      <c r="E371" s="30"/>
      <c r="F371" s="43"/>
      <c r="G371" s="20">
        <f t="shared" si="25"/>
        <v>1</v>
      </c>
      <c r="H371" s="18"/>
      <c r="I371" s="19">
        <f t="shared" si="26"/>
        <v>1</v>
      </c>
      <c r="J371" s="19"/>
      <c r="K371" s="20"/>
      <c r="L371" s="19"/>
      <c r="M371" t="str">
        <f t="shared" si="27"/>
        <v/>
      </c>
      <c r="N371" t="str">
        <f t="shared" si="28"/>
        <v/>
      </c>
    </row>
    <row r="372" spans="1:14" x14ac:dyDescent="0.25">
      <c r="A372" s="4" t="s">
        <v>131</v>
      </c>
      <c r="B372" s="1"/>
      <c r="C372" s="5" t="s">
        <v>303</v>
      </c>
      <c r="D372" s="13" t="s">
        <v>430</v>
      </c>
      <c r="E372" s="30">
        <v>24</v>
      </c>
      <c r="F372" s="43"/>
      <c r="G372" s="20">
        <f t="shared" si="25"/>
        <v>1</v>
      </c>
      <c r="H372" s="18"/>
      <c r="I372" s="19">
        <f t="shared" si="26"/>
        <v>1</v>
      </c>
      <c r="J372" s="19"/>
      <c r="K372" s="20"/>
      <c r="L372" s="19"/>
      <c r="M372" t="str">
        <f t="shared" si="27"/>
        <v/>
      </c>
      <c r="N372" t="str">
        <f t="shared" si="28"/>
        <v/>
      </c>
    </row>
    <row r="373" spans="1:14" x14ac:dyDescent="0.25">
      <c r="A373" s="4" t="s">
        <v>246</v>
      </c>
      <c r="B373" s="1"/>
      <c r="C373" s="5" t="s">
        <v>5</v>
      </c>
      <c r="D373" s="13"/>
      <c r="E373" s="30"/>
      <c r="F373" s="43"/>
      <c r="G373" s="20">
        <f t="shared" si="25"/>
        <v>1</v>
      </c>
      <c r="H373" s="18"/>
      <c r="I373" s="19">
        <f t="shared" si="26"/>
        <v>1</v>
      </c>
      <c r="J373" s="19"/>
      <c r="K373" s="20"/>
      <c r="L373" s="19"/>
      <c r="M373" t="str">
        <f t="shared" si="27"/>
        <v/>
      </c>
      <c r="N373" t="str">
        <f t="shared" si="28"/>
        <v/>
      </c>
    </row>
    <row r="374" spans="1:14" x14ac:dyDescent="0.25">
      <c r="A374" s="2" t="s">
        <v>132</v>
      </c>
      <c r="B374" s="21"/>
      <c r="C374" s="3"/>
      <c r="D374" s="14"/>
      <c r="E374" s="31"/>
      <c r="F374" s="45" t="s">
        <v>733</v>
      </c>
      <c r="G374" s="20">
        <f t="shared" si="25"/>
        <v>1</v>
      </c>
      <c r="H374" s="18"/>
      <c r="I374" s="19">
        <f t="shared" si="26"/>
        <v>0</v>
      </c>
      <c r="J374" s="19"/>
      <c r="K374" s="20"/>
      <c r="L374" s="19"/>
      <c r="M374" t="str">
        <f t="shared" si="27"/>
        <v/>
      </c>
      <c r="N374" t="str">
        <f t="shared" si="28"/>
        <v/>
      </c>
    </row>
    <row r="375" spans="1:14" x14ac:dyDescent="0.25">
      <c r="A375" s="4" t="s">
        <v>265</v>
      </c>
      <c r="B375" s="1"/>
      <c r="C375" s="5" t="s">
        <v>5</v>
      </c>
      <c r="D375" s="13"/>
      <c r="E375" s="30"/>
      <c r="F375" s="43"/>
      <c r="G375" s="20">
        <f t="shared" si="25"/>
        <v>1</v>
      </c>
      <c r="H375" s="18"/>
      <c r="I375" s="19">
        <f t="shared" si="26"/>
        <v>1</v>
      </c>
      <c r="J375" s="19"/>
      <c r="K375" s="20"/>
      <c r="L375" s="19"/>
      <c r="M375" t="str">
        <f t="shared" si="27"/>
        <v/>
      </c>
      <c r="N375" t="str">
        <f t="shared" si="28"/>
        <v/>
      </c>
    </row>
    <row r="376" spans="1:14" x14ac:dyDescent="0.25">
      <c r="A376" s="2" t="s">
        <v>317</v>
      </c>
      <c r="B376" s="21"/>
      <c r="C376" s="3"/>
      <c r="D376" s="14"/>
      <c r="E376" s="31"/>
      <c r="F376" s="45" t="s">
        <v>734</v>
      </c>
      <c r="G376" s="20">
        <f t="shared" si="25"/>
        <v>1</v>
      </c>
      <c r="H376" s="18"/>
      <c r="I376" s="19">
        <f t="shared" si="26"/>
        <v>0</v>
      </c>
      <c r="J376" s="19"/>
      <c r="K376" s="20"/>
      <c r="L376" s="19"/>
      <c r="M376" t="str">
        <f t="shared" si="27"/>
        <v/>
      </c>
      <c r="N376" t="str">
        <f t="shared" si="28"/>
        <v/>
      </c>
    </row>
    <row r="377" spans="1:14" x14ac:dyDescent="0.25">
      <c r="A377" s="4" t="s">
        <v>247</v>
      </c>
      <c r="B377" s="1"/>
      <c r="C377" s="5" t="s">
        <v>5</v>
      </c>
      <c r="D377" s="13" t="s">
        <v>430</v>
      </c>
      <c r="E377" s="30">
        <v>17</v>
      </c>
      <c r="F377" s="43"/>
      <c r="G377" s="20">
        <f t="shared" si="25"/>
        <v>1</v>
      </c>
      <c r="H377" s="18"/>
      <c r="I377" s="19">
        <f t="shared" si="26"/>
        <v>1</v>
      </c>
      <c r="J377" s="19"/>
      <c r="K377" s="20"/>
      <c r="L377" s="19"/>
      <c r="M377" t="str">
        <f t="shared" si="27"/>
        <v/>
      </c>
      <c r="N377" t="str">
        <f t="shared" si="28"/>
        <v/>
      </c>
    </row>
    <row r="378" spans="1:14" x14ac:dyDescent="0.25">
      <c r="A378" s="2" t="s">
        <v>298</v>
      </c>
      <c r="B378" s="21"/>
      <c r="C378" s="3"/>
      <c r="D378" s="14"/>
      <c r="E378" s="31"/>
      <c r="F378" s="45" t="s">
        <v>735</v>
      </c>
      <c r="G378" s="20">
        <f t="shared" si="25"/>
        <v>1</v>
      </c>
      <c r="H378" s="18"/>
      <c r="I378" s="19">
        <f t="shared" si="26"/>
        <v>0</v>
      </c>
      <c r="J378" s="19"/>
      <c r="K378" s="20"/>
      <c r="L378" s="19"/>
      <c r="M378" t="str">
        <f t="shared" si="27"/>
        <v/>
      </c>
      <c r="N378" t="str">
        <f t="shared" si="28"/>
        <v/>
      </c>
    </row>
    <row r="379" spans="1:14" x14ac:dyDescent="0.25">
      <c r="A379" s="2" t="s">
        <v>543</v>
      </c>
      <c r="B379" s="21"/>
      <c r="C379" s="3"/>
      <c r="D379" s="14" t="s">
        <v>736</v>
      </c>
      <c r="E379" s="31"/>
      <c r="F379" s="45" t="s">
        <v>737</v>
      </c>
      <c r="G379" s="20">
        <f t="shared" si="25"/>
        <v>1</v>
      </c>
      <c r="H379" s="18"/>
      <c r="I379" s="19">
        <f t="shared" si="26"/>
        <v>0</v>
      </c>
      <c r="J379" s="19"/>
      <c r="K379" s="20"/>
      <c r="L379" s="19"/>
      <c r="M379" t="str">
        <f t="shared" si="27"/>
        <v/>
      </c>
      <c r="N379" t="str">
        <f t="shared" si="28"/>
        <v/>
      </c>
    </row>
    <row r="380" spans="1:14" x14ac:dyDescent="0.25">
      <c r="A380" s="2" t="s">
        <v>133</v>
      </c>
      <c r="B380" s="21"/>
      <c r="C380" s="3"/>
      <c r="D380" s="14"/>
      <c r="E380" s="31"/>
      <c r="F380" s="45" t="s">
        <v>738</v>
      </c>
      <c r="G380" s="20">
        <f t="shared" si="25"/>
        <v>1</v>
      </c>
      <c r="H380" s="18"/>
      <c r="I380" s="19">
        <f t="shared" si="26"/>
        <v>0</v>
      </c>
      <c r="J380" s="19"/>
      <c r="K380" s="20"/>
      <c r="L380" s="19"/>
      <c r="M380" t="str">
        <f t="shared" si="27"/>
        <v/>
      </c>
      <c r="N380" t="str">
        <f t="shared" si="28"/>
        <v/>
      </c>
    </row>
    <row r="381" spans="1:14" x14ac:dyDescent="0.25">
      <c r="A381" s="2" t="s">
        <v>739</v>
      </c>
      <c r="B381" s="21"/>
      <c r="C381" s="3"/>
      <c r="D381" s="14" t="s">
        <v>741</v>
      </c>
      <c r="E381" s="31"/>
      <c r="F381" s="45" t="s">
        <v>740</v>
      </c>
      <c r="G381" s="20">
        <f t="shared" si="25"/>
        <v>1</v>
      </c>
      <c r="H381" s="18"/>
      <c r="I381" s="19">
        <f t="shared" si="26"/>
        <v>0</v>
      </c>
      <c r="J381" s="19"/>
      <c r="K381" s="20"/>
      <c r="L381" s="19"/>
      <c r="M381" t="str">
        <f t="shared" si="27"/>
        <v/>
      </c>
      <c r="N381" t="str">
        <f t="shared" si="28"/>
        <v/>
      </c>
    </row>
    <row r="382" spans="1:14" x14ac:dyDescent="0.25">
      <c r="A382" s="2" t="s">
        <v>213</v>
      </c>
      <c r="B382" s="21"/>
      <c r="C382" s="3"/>
      <c r="D382" s="14" t="s">
        <v>430</v>
      </c>
      <c r="E382" s="31">
        <v>15</v>
      </c>
      <c r="F382" s="45" t="s">
        <v>742</v>
      </c>
      <c r="G382" s="20">
        <f t="shared" si="25"/>
        <v>1</v>
      </c>
      <c r="H382" s="18"/>
      <c r="I382" s="19">
        <f t="shared" si="26"/>
        <v>0</v>
      </c>
      <c r="J382" s="19"/>
      <c r="K382" s="20"/>
      <c r="L382" s="19"/>
      <c r="M382" t="str">
        <f t="shared" si="27"/>
        <v/>
      </c>
      <c r="N382" t="str">
        <f t="shared" si="28"/>
        <v/>
      </c>
    </row>
    <row r="383" spans="1:14" x14ac:dyDescent="0.25">
      <c r="A383" s="2" t="s">
        <v>393</v>
      </c>
      <c r="B383" s="21"/>
      <c r="C383" s="3"/>
      <c r="D383" s="14"/>
      <c r="E383" s="31"/>
      <c r="F383" s="45" t="s">
        <v>743</v>
      </c>
      <c r="G383" s="20">
        <f t="shared" si="25"/>
        <v>1</v>
      </c>
      <c r="H383" s="18"/>
      <c r="I383" s="19">
        <f t="shared" si="26"/>
        <v>0</v>
      </c>
      <c r="J383" s="19"/>
      <c r="K383" s="20"/>
      <c r="L383" s="19"/>
      <c r="M383" t="str">
        <f t="shared" si="27"/>
        <v/>
      </c>
      <c r="N383" t="str">
        <f t="shared" si="28"/>
        <v/>
      </c>
    </row>
    <row r="384" spans="1:14" x14ac:dyDescent="0.25">
      <c r="A384" s="4" t="s">
        <v>134</v>
      </c>
      <c r="B384" s="1"/>
      <c r="C384" s="5" t="s">
        <v>5</v>
      </c>
      <c r="D384" s="13" t="s">
        <v>474</v>
      </c>
      <c r="E384" s="30"/>
      <c r="F384" s="43"/>
      <c r="G384" s="20">
        <f t="shared" si="25"/>
        <v>1</v>
      </c>
      <c r="H384" s="18"/>
      <c r="I384" s="19">
        <f t="shared" si="26"/>
        <v>1</v>
      </c>
      <c r="J384" s="19"/>
      <c r="K384" s="20"/>
      <c r="L384" s="19"/>
      <c r="M384" t="str">
        <f t="shared" si="27"/>
        <v/>
      </c>
      <c r="N384" t="str">
        <f t="shared" si="28"/>
        <v/>
      </c>
    </row>
    <row r="385" spans="1:14" x14ac:dyDescent="0.25">
      <c r="A385" s="4" t="s">
        <v>540</v>
      </c>
      <c r="B385" s="1"/>
      <c r="C385" s="5" t="s">
        <v>5</v>
      </c>
      <c r="D385" s="13" t="s">
        <v>494</v>
      </c>
      <c r="E385" s="30">
        <v>10</v>
      </c>
      <c r="F385" s="43"/>
      <c r="G385" s="20">
        <f t="shared" si="25"/>
        <v>1</v>
      </c>
      <c r="H385" s="18"/>
      <c r="I385" s="19">
        <f t="shared" si="26"/>
        <v>1</v>
      </c>
      <c r="J385" s="19"/>
      <c r="K385" s="20"/>
      <c r="L385" s="19"/>
      <c r="M385" t="str">
        <f t="shared" si="27"/>
        <v/>
      </c>
      <c r="N385" t="str">
        <f t="shared" si="28"/>
        <v/>
      </c>
    </row>
    <row r="386" spans="1:14" x14ac:dyDescent="0.25">
      <c r="A386" s="4" t="s">
        <v>135</v>
      </c>
      <c r="B386" s="1"/>
      <c r="C386" s="5" t="s">
        <v>5</v>
      </c>
      <c r="D386" s="13"/>
      <c r="E386" s="30"/>
      <c r="F386" s="46"/>
      <c r="G386" s="20">
        <f t="shared" si="25"/>
        <v>1</v>
      </c>
      <c r="H386" s="18"/>
      <c r="I386" s="19">
        <f t="shared" si="26"/>
        <v>1</v>
      </c>
      <c r="J386" s="19"/>
      <c r="K386" s="20"/>
      <c r="L386" s="19"/>
      <c r="M386" t="str">
        <f t="shared" si="27"/>
        <v/>
      </c>
      <c r="N386" t="str">
        <f t="shared" si="28"/>
        <v/>
      </c>
    </row>
    <row r="387" spans="1:14" x14ac:dyDescent="0.25">
      <c r="A387" s="4" t="s">
        <v>227</v>
      </c>
      <c r="B387" s="1"/>
      <c r="C387" s="5" t="s">
        <v>5</v>
      </c>
      <c r="D387" s="13"/>
      <c r="E387" s="30"/>
      <c r="F387" s="46"/>
      <c r="G387" s="20">
        <f t="shared" si="25"/>
        <v>1</v>
      </c>
      <c r="H387" s="18"/>
      <c r="I387" s="19">
        <f t="shared" si="26"/>
        <v>1</v>
      </c>
      <c r="J387" s="19"/>
      <c r="K387" s="20"/>
      <c r="L387" s="19"/>
      <c r="M387" t="str">
        <f t="shared" si="27"/>
        <v/>
      </c>
      <c r="N387" t="str">
        <f t="shared" si="28"/>
        <v/>
      </c>
    </row>
    <row r="388" spans="1:14" x14ac:dyDescent="0.25">
      <c r="A388" s="4" t="s">
        <v>235</v>
      </c>
      <c r="B388" s="1"/>
      <c r="C388" s="5" t="s">
        <v>5</v>
      </c>
      <c r="D388" s="13" t="s">
        <v>430</v>
      </c>
      <c r="E388" s="30">
        <v>11</v>
      </c>
      <c r="F388" s="43"/>
      <c r="G388" s="20">
        <f t="shared" si="25"/>
        <v>1</v>
      </c>
      <c r="H388" s="18"/>
      <c r="I388" s="19">
        <f t="shared" si="26"/>
        <v>1</v>
      </c>
      <c r="J388" s="19"/>
      <c r="K388" s="20"/>
      <c r="L388" s="19"/>
      <c r="M388" t="str">
        <f t="shared" si="27"/>
        <v/>
      </c>
      <c r="N388" t="str">
        <f t="shared" si="28"/>
        <v/>
      </c>
    </row>
    <row r="389" spans="1:14" x14ac:dyDescent="0.25">
      <c r="A389" s="2" t="s">
        <v>248</v>
      </c>
      <c r="B389" s="21"/>
      <c r="C389" s="3"/>
      <c r="D389" s="14"/>
      <c r="E389" s="31"/>
      <c r="F389" s="45" t="s">
        <v>744</v>
      </c>
      <c r="G389" s="20">
        <f t="shared" si="25"/>
        <v>1</v>
      </c>
      <c r="H389" s="18"/>
      <c r="I389" s="19">
        <f t="shared" si="26"/>
        <v>0</v>
      </c>
      <c r="J389" s="19"/>
      <c r="K389" s="20"/>
      <c r="L389" s="19"/>
      <c r="M389" t="str">
        <f t="shared" si="27"/>
        <v/>
      </c>
      <c r="N389" t="str">
        <f t="shared" si="28"/>
        <v/>
      </c>
    </row>
    <row r="390" spans="1:14" x14ac:dyDescent="0.25">
      <c r="A390" s="2" t="s">
        <v>412</v>
      </c>
      <c r="B390" s="21"/>
      <c r="C390" s="3"/>
      <c r="D390" s="14"/>
      <c r="E390" s="31"/>
      <c r="F390" s="45" t="s">
        <v>745</v>
      </c>
      <c r="G390" s="20">
        <f t="shared" si="25"/>
        <v>1</v>
      </c>
      <c r="H390" s="18"/>
      <c r="I390" s="19">
        <f t="shared" si="26"/>
        <v>0</v>
      </c>
      <c r="J390" s="19"/>
      <c r="K390" s="20"/>
      <c r="L390" s="19"/>
      <c r="M390" t="str">
        <f t="shared" si="27"/>
        <v/>
      </c>
      <c r="N390" t="str">
        <f t="shared" si="28"/>
        <v/>
      </c>
    </row>
    <row r="391" spans="1:14" x14ac:dyDescent="0.25">
      <c r="A391" s="4" t="s">
        <v>136</v>
      </c>
      <c r="B391" s="1"/>
      <c r="C391" s="5" t="s">
        <v>5</v>
      </c>
      <c r="D391" s="13"/>
      <c r="E391" s="30"/>
      <c r="F391" s="43"/>
      <c r="G391" s="20">
        <f t="shared" si="25"/>
        <v>1</v>
      </c>
      <c r="H391" s="18"/>
      <c r="I391" s="19">
        <f t="shared" si="26"/>
        <v>1</v>
      </c>
      <c r="J391" s="19"/>
      <c r="K391" s="20"/>
      <c r="L391" s="19"/>
      <c r="M391" t="str">
        <f t="shared" si="27"/>
        <v/>
      </c>
      <c r="N391" t="str">
        <f t="shared" si="28"/>
        <v/>
      </c>
    </row>
    <row r="392" spans="1:14" x14ac:dyDescent="0.25">
      <c r="A392" s="2" t="s">
        <v>357</v>
      </c>
      <c r="B392" s="21"/>
      <c r="C392" s="3"/>
      <c r="D392" s="14"/>
      <c r="E392" s="31"/>
      <c r="F392" s="45" t="s">
        <v>746</v>
      </c>
      <c r="G392" s="20">
        <f t="shared" ref="G392:G455" si="29">COUNTA(A392)</f>
        <v>1</v>
      </c>
      <c r="H392" s="18"/>
      <c r="I392" s="19">
        <f t="shared" ref="I392:I455" si="30">COUNTA(C392)</f>
        <v>0</v>
      </c>
      <c r="J392" s="19"/>
      <c r="K392" s="20"/>
      <c r="L392" s="19"/>
      <c r="M392" t="str">
        <f t="shared" si="27"/>
        <v/>
      </c>
      <c r="N392" t="str">
        <f t="shared" si="28"/>
        <v/>
      </c>
    </row>
    <row r="393" spans="1:14" x14ac:dyDescent="0.25">
      <c r="A393" s="4" t="s">
        <v>137</v>
      </c>
      <c r="B393" s="1"/>
      <c r="C393" s="5" t="s">
        <v>5</v>
      </c>
      <c r="D393" s="13"/>
      <c r="E393" s="30"/>
      <c r="F393" s="43"/>
      <c r="G393" s="20">
        <f t="shared" si="29"/>
        <v>1</v>
      </c>
      <c r="H393" s="18"/>
      <c r="I393" s="19">
        <f t="shared" si="30"/>
        <v>1</v>
      </c>
      <c r="J393" s="19"/>
      <c r="K393" s="20"/>
      <c r="L393" s="19"/>
      <c r="M393" t="str">
        <f t="shared" si="27"/>
        <v/>
      </c>
      <c r="N393" t="str">
        <f t="shared" si="28"/>
        <v/>
      </c>
    </row>
    <row r="394" spans="1:14" x14ac:dyDescent="0.25">
      <c r="A394" s="4" t="s">
        <v>138</v>
      </c>
      <c r="B394" s="1"/>
      <c r="C394" s="5" t="s">
        <v>5</v>
      </c>
      <c r="D394" s="13"/>
      <c r="E394" s="30"/>
      <c r="F394" s="43"/>
      <c r="G394" s="20">
        <f t="shared" si="29"/>
        <v>1</v>
      </c>
      <c r="H394" s="18"/>
      <c r="I394" s="19">
        <f t="shared" si="30"/>
        <v>1</v>
      </c>
      <c r="J394" s="19"/>
      <c r="K394" s="20"/>
      <c r="L394" s="19"/>
      <c r="M394" t="str">
        <f t="shared" si="27"/>
        <v/>
      </c>
      <c r="N394" t="str">
        <f t="shared" si="28"/>
        <v/>
      </c>
    </row>
    <row r="395" spans="1:14" x14ac:dyDescent="0.25">
      <c r="A395" s="4" t="s">
        <v>139</v>
      </c>
      <c r="B395" s="1"/>
      <c r="C395" s="5" t="s">
        <v>5</v>
      </c>
      <c r="D395" s="13" t="s">
        <v>430</v>
      </c>
      <c r="E395" s="30">
        <v>18</v>
      </c>
      <c r="F395" s="43"/>
      <c r="G395" s="20">
        <f t="shared" si="29"/>
        <v>1</v>
      </c>
      <c r="H395" s="18"/>
      <c r="I395" s="19">
        <f t="shared" si="30"/>
        <v>1</v>
      </c>
      <c r="J395" s="19"/>
      <c r="K395" s="20"/>
      <c r="L395" s="19"/>
      <c r="M395" t="str">
        <f t="shared" si="27"/>
        <v/>
      </c>
      <c r="N395" t="str">
        <f t="shared" si="28"/>
        <v/>
      </c>
    </row>
    <row r="396" spans="1:14" x14ac:dyDescent="0.25">
      <c r="A396" s="2" t="s">
        <v>490</v>
      </c>
      <c r="B396" s="21"/>
      <c r="C396" s="3"/>
      <c r="D396" s="14"/>
      <c r="E396" s="31"/>
      <c r="F396" s="45" t="s">
        <v>747</v>
      </c>
      <c r="G396" s="20">
        <f t="shared" si="29"/>
        <v>1</v>
      </c>
      <c r="H396" s="18"/>
      <c r="I396" s="19">
        <f t="shared" si="30"/>
        <v>0</v>
      </c>
      <c r="J396" s="19"/>
      <c r="K396" s="20"/>
      <c r="L396" s="19"/>
      <c r="M396" t="str">
        <f t="shared" si="27"/>
        <v/>
      </c>
      <c r="N396" t="str">
        <f t="shared" si="28"/>
        <v/>
      </c>
    </row>
    <row r="397" spans="1:14" x14ac:dyDescent="0.25">
      <c r="A397" s="2" t="s">
        <v>140</v>
      </c>
      <c r="B397" s="21"/>
      <c r="C397" s="3"/>
      <c r="D397" s="14"/>
      <c r="E397" s="31"/>
      <c r="F397" s="45" t="s">
        <v>748</v>
      </c>
      <c r="G397" s="20">
        <f t="shared" si="29"/>
        <v>1</v>
      </c>
      <c r="H397" s="18"/>
      <c r="I397" s="19">
        <f t="shared" si="30"/>
        <v>0</v>
      </c>
      <c r="J397" s="19"/>
      <c r="K397" s="20"/>
      <c r="L397" s="19"/>
      <c r="M397" t="str">
        <f t="shared" si="27"/>
        <v/>
      </c>
      <c r="N397" t="str">
        <f t="shared" si="28"/>
        <v/>
      </c>
    </row>
    <row r="398" spans="1:14" x14ac:dyDescent="0.25">
      <c r="A398" s="2" t="s">
        <v>442</v>
      </c>
      <c r="B398" s="21"/>
      <c r="C398" s="3"/>
      <c r="D398" s="14"/>
      <c r="E398" s="31"/>
      <c r="F398" s="45" t="s">
        <v>749</v>
      </c>
      <c r="G398" s="20">
        <f t="shared" si="29"/>
        <v>1</v>
      </c>
      <c r="H398" s="18"/>
      <c r="I398" s="19">
        <f t="shared" si="30"/>
        <v>0</v>
      </c>
      <c r="J398" s="19"/>
      <c r="K398" s="20"/>
      <c r="L398" s="19"/>
      <c r="M398" t="str">
        <f t="shared" si="27"/>
        <v/>
      </c>
      <c r="N398" t="str">
        <f t="shared" si="28"/>
        <v/>
      </c>
    </row>
    <row r="399" spans="1:14" x14ac:dyDescent="0.25">
      <c r="A399" s="4" t="s">
        <v>533</v>
      </c>
      <c r="B399" s="1"/>
      <c r="C399" s="5" t="s">
        <v>5</v>
      </c>
      <c r="D399" s="13" t="s">
        <v>524</v>
      </c>
      <c r="E399" s="30">
        <v>10</v>
      </c>
      <c r="F399" s="43"/>
      <c r="G399" s="20">
        <f t="shared" si="29"/>
        <v>1</v>
      </c>
      <c r="H399" s="18"/>
      <c r="I399" s="19">
        <f t="shared" si="30"/>
        <v>1</v>
      </c>
      <c r="J399" s="19"/>
      <c r="K399" s="20"/>
      <c r="L399" s="19"/>
    </row>
    <row r="400" spans="1:14" x14ac:dyDescent="0.25">
      <c r="A400" s="4" t="s">
        <v>299</v>
      </c>
      <c r="B400" s="1"/>
      <c r="C400" s="5" t="s">
        <v>5</v>
      </c>
      <c r="D400" s="13"/>
      <c r="E400" s="30"/>
      <c r="F400" s="43"/>
      <c r="G400" s="20">
        <f t="shared" si="29"/>
        <v>1</v>
      </c>
      <c r="H400" s="18"/>
      <c r="I400" s="19">
        <f t="shared" si="30"/>
        <v>1</v>
      </c>
      <c r="J400" s="19"/>
      <c r="K400" s="20"/>
      <c r="L400" s="19"/>
      <c r="M400" t="str">
        <f t="shared" si="27"/>
        <v/>
      </c>
      <c r="N400" t="str">
        <f t="shared" si="28"/>
        <v/>
      </c>
    </row>
    <row r="401" spans="1:14" x14ac:dyDescent="0.25">
      <c r="A401" s="4" t="s">
        <v>324</v>
      </c>
      <c r="B401" s="1"/>
      <c r="C401" s="5" t="s">
        <v>5</v>
      </c>
      <c r="D401" s="13"/>
      <c r="E401" s="30"/>
      <c r="F401" s="43"/>
      <c r="G401" s="20">
        <f t="shared" si="29"/>
        <v>1</v>
      </c>
      <c r="H401" s="18"/>
      <c r="I401" s="19">
        <f t="shared" si="30"/>
        <v>1</v>
      </c>
      <c r="J401" s="19"/>
      <c r="K401" s="20"/>
      <c r="L401" s="19"/>
      <c r="M401" t="str">
        <f t="shared" si="27"/>
        <v/>
      </c>
      <c r="N401" t="str">
        <f t="shared" si="28"/>
        <v/>
      </c>
    </row>
    <row r="402" spans="1:14" x14ac:dyDescent="0.25">
      <c r="A402" s="2" t="s">
        <v>384</v>
      </c>
      <c r="B402" s="21"/>
      <c r="C402" s="3"/>
      <c r="D402" s="14" t="s">
        <v>430</v>
      </c>
      <c r="E402" s="31">
        <v>19</v>
      </c>
      <c r="F402" s="45" t="s">
        <v>750</v>
      </c>
      <c r="G402" s="20">
        <f t="shared" si="29"/>
        <v>1</v>
      </c>
      <c r="H402" s="18"/>
      <c r="I402" s="19">
        <f t="shared" si="30"/>
        <v>0</v>
      </c>
      <c r="J402" s="19"/>
      <c r="K402" s="20"/>
      <c r="L402" s="19"/>
      <c r="M402" t="str">
        <f t="shared" si="27"/>
        <v/>
      </c>
      <c r="N402" t="str">
        <f t="shared" si="28"/>
        <v/>
      </c>
    </row>
    <row r="403" spans="1:14" x14ac:dyDescent="0.25">
      <c r="A403" s="2" t="s">
        <v>391</v>
      </c>
      <c r="B403" s="21"/>
      <c r="C403" s="3"/>
      <c r="D403" s="14"/>
      <c r="E403" s="31"/>
      <c r="F403" s="45" t="s">
        <v>751</v>
      </c>
      <c r="G403" s="20">
        <f t="shared" si="29"/>
        <v>1</v>
      </c>
      <c r="H403" s="18"/>
      <c r="I403" s="19">
        <f t="shared" si="30"/>
        <v>0</v>
      </c>
      <c r="J403" s="19"/>
      <c r="K403" s="20"/>
      <c r="L403" s="19"/>
      <c r="M403" t="str">
        <f t="shared" si="27"/>
        <v/>
      </c>
      <c r="N403" t="str">
        <f t="shared" si="28"/>
        <v/>
      </c>
    </row>
    <row r="404" spans="1:14" x14ac:dyDescent="0.25">
      <c r="A404" s="2" t="s">
        <v>141</v>
      </c>
      <c r="B404" s="21"/>
      <c r="C404" s="3"/>
      <c r="D404" s="14"/>
      <c r="E404" s="31"/>
      <c r="F404" s="45" t="s">
        <v>752</v>
      </c>
      <c r="G404" s="20">
        <f t="shared" si="29"/>
        <v>1</v>
      </c>
      <c r="H404" s="18"/>
      <c r="I404" s="19">
        <f t="shared" si="30"/>
        <v>0</v>
      </c>
      <c r="J404" s="19"/>
      <c r="K404" s="20"/>
      <c r="L404" s="19"/>
      <c r="M404" t="str">
        <f t="shared" si="27"/>
        <v/>
      </c>
      <c r="N404" t="str">
        <f t="shared" si="28"/>
        <v/>
      </c>
    </row>
    <row r="405" spans="1:14" x14ac:dyDescent="0.25">
      <c r="A405" s="26" t="s">
        <v>497</v>
      </c>
      <c r="B405" s="27" t="s">
        <v>523</v>
      </c>
      <c r="C405" s="28"/>
      <c r="D405" s="29" t="s">
        <v>519</v>
      </c>
      <c r="E405" s="32">
        <v>24</v>
      </c>
      <c r="F405" s="71" t="s">
        <v>753</v>
      </c>
      <c r="G405" s="20">
        <f t="shared" si="29"/>
        <v>1</v>
      </c>
      <c r="H405" s="18"/>
      <c r="I405" s="19">
        <f t="shared" si="30"/>
        <v>0</v>
      </c>
      <c r="J405" s="19"/>
      <c r="K405" s="20"/>
      <c r="L405" s="19"/>
      <c r="M405" t="str">
        <f t="shared" si="27"/>
        <v/>
      </c>
      <c r="N405" t="str">
        <f t="shared" si="28"/>
        <v/>
      </c>
    </row>
    <row r="406" spans="1:14" x14ac:dyDescent="0.25">
      <c r="A406" s="2" t="s">
        <v>184</v>
      </c>
      <c r="B406" s="21"/>
      <c r="C406" s="3"/>
      <c r="D406" s="14"/>
      <c r="E406" s="31"/>
      <c r="F406" s="45" t="s">
        <v>754</v>
      </c>
      <c r="G406" s="20">
        <f t="shared" si="29"/>
        <v>1</v>
      </c>
      <c r="H406" s="18"/>
      <c r="I406" s="19">
        <f t="shared" si="30"/>
        <v>0</v>
      </c>
      <c r="J406" s="19"/>
      <c r="K406" s="20"/>
      <c r="L406" s="19"/>
      <c r="M406" t="str">
        <f t="shared" si="27"/>
        <v/>
      </c>
      <c r="N406" t="str">
        <f t="shared" si="28"/>
        <v/>
      </c>
    </row>
    <row r="407" spans="1:14" x14ac:dyDescent="0.25">
      <c r="A407" s="2" t="s">
        <v>142</v>
      </c>
      <c r="B407" s="21"/>
      <c r="C407" s="3"/>
      <c r="D407" s="14"/>
      <c r="E407" s="31"/>
      <c r="F407" s="45" t="s">
        <v>754</v>
      </c>
      <c r="G407" s="20">
        <f t="shared" si="29"/>
        <v>1</v>
      </c>
      <c r="H407" s="18"/>
      <c r="I407" s="19">
        <f t="shared" si="30"/>
        <v>0</v>
      </c>
      <c r="J407" s="19"/>
      <c r="K407" s="20"/>
      <c r="L407" s="19"/>
      <c r="M407" t="str">
        <f t="shared" ref="M407:M473" si="31">IF(B407=1,E407,"")</f>
        <v/>
      </c>
      <c r="N407" t="str">
        <f t="shared" ref="N407:N473" si="32">IF(B407=2,E407,"")</f>
        <v/>
      </c>
    </row>
    <row r="408" spans="1:14" x14ac:dyDescent="0.25">
      <c r="A408" s="4" t="s">
        <v>249</v>
      </c>
      <c r="B408" s="1"/>
      <c r="C408" s="5" t="s">
        <v>5</v>
      </c>
      <c r="D408" s="13"/>
      <c r="E408" s="30"/>
      <c r="F408" s="43"/>
      <c r="G408" s="20">
        <f t="shared" si="29"/>
        <v>1</v>
      </c>
      <c r="H408" s="18"/>
      <c r="I408" s="19">
        <f t="shared" si="30"/>
        <v>1</v>
      </c>
      <c r="J408" s="19"/>
      <c r="K408" s="20"/>
      <c r="L408" s="19"/>
      <c r="M408" t="str">
        <f t="shared" si="31"/>
        <v/>
      </c>
      <c r="N408" t="str">
        <f t="shared" si="32"/>
        <v/>
      </c>
    </row>
    <row r="409" spans="1:14" x14ac:dyDescent="0.25">
      <c r="A409" s="4" t="s">
        <v>406</v>
      </c>
      <c r="B409" s="1"/>
      <c r="C409" s="5" t="s">
        <v>5</v>
      </c>
      <c r="D409" s="13" t="s">
        <v>531</v>
      </c>
      <c r="E409" s="30">
        <v>12</v>
      </c>
      <c r="F409" s="43"/>
      <c r="G409" s="20">
        <f t="shared" si="29"/>
        <v>1</v>
      </c>
      <c r="H409" s="18"/>
      <c r="I409" s="19">
        <f t="shared" si="30"/>
        <v>1</v>
      </c>
      <c r="J409" s="19"/>
      <c r="K409" s="20"/>
      <c r="L409" s="19"/>
      <c r="M409" t="str">
        <f t="shared" si="31"/>
        <v/>
      </c>
      <c r="N409" t="str">
        <f t="shared" si="32"/>
        <v/>
      </c>
    </row>
    <row r="410" spans="1:14" x14ac:dyDescent="0.25">
      <c r="A410" s="2" t="s">
        <v>409</v>
      </c>
      <c r="B410" s="21"/>
      <c r="C410" s="3"/>
      <c r="D410" s="14"/>
      <c r="E410" s="31"/>
      <c r="F410" s="45" t="s">
        <v>755</v>
      </c>
      <c r="G410" s="20">
        <f t="shared" si="29"/>
        <v>1</v>
      </c>
      <c r="H410" s="18"/>
      <c r="I410" s="19">
        <f t="shared" si="30"/>
        <v>0</v>
      </c>
      <c r="J410" s="19"/>
      <c r="K410" s="20"/>
      <c r="L410" s="19"/>
      <c r="M410" t="str">
        <f t="shared" si="31"/>
        <v/>
      </c>
      <c r="N410" t="str">
        <f t="shared" si="32"/>
        <v/>
      </c>
    </row>
    <row r="411" spans="1:14" x14ac:dyDescent="0.25">
      <c r="A411" s="4" t="s">
        <v>464</v>
      </c>
      <c r="B411" s="1"/>
      <c r="C411" s="5" t="s">
        <v>5</v>
      </c>
      <c r="D411" s="13" t="s">
        <v>465</v>
      </c>
      <c r="E411" s="30"/>
      <c r="F411" s="43"/>
      <c r="G411" s="20">
        <f t="shared" si="29"/>
        <v>1</v>
      </c>
      <c r="H411" s="18"/>
      <c r="I411" s="19">
        <f t="shared" si="30"/>
        <v>1</v>
      </c>
      <c r="J411" s="19"/>
      <c r="K411" s="20"/>
      <c r="L411" s="19"/>
      <c r="M411" t="str">
        <f t="shared" si="31"/>
        <v/>
      </c>
      <c r="N411" t="str">
        <f t="shared" si="32"/>
        <v/>
      </c>
    </row>
    <row r="412" spans="1:14" x14ac:dyDescent="0.25">
      <c r="A412" s="4" t="s">
        <v>143</v>
      </c>
      <c r="B412" s="1"/>
      <c r="C412" s="5" t="s">
        <v>5</v>
      </c>
      <c r="D412" s="13"/>
      <c r="E412" s="30"/>
      <c r="F412" s="43"/>
      <c r="G412" s="20">
        <f t="shared" si="29"/>
        <v>1</v>
      </c>
      <c r="H412" s="18"/>
      <c r="I412" s="19">
        <f t="shared" si="30"/>
        <v>1</v>
      </c>
      <c r="J412" s="19"/>
      <c r="K412" s="20"/>
      <c r="L412" s="19"/>
      <c r="M412" t="str">
        <f t="shared" si="31"/>
        <v/>
      </c>
      <c r="N412" t="str">
        <f t="shared" si="32"/>
        <v/>
      </c>
    </row>
    <row r="413" spans="1:14" x14ac:dyDescent="0.25">
      <c r="A413" s="4" t="s">
        <v>179</v>
      </c>
      <c r="B413" s="1"/>
      <c r="C413" s="5" t="s">
        <v>5</v>
      </c>
      <c r="D413" s="13"/>
      <c r="E413" s="30"/>
      <c r="F413" s="43"/>
      <c r="G413" s="20">
        <f t="shared" si="29"/>
        <v>1</v>
      </c>
      <c r="H413" s="18"/>
      <c r="I413" s="19">
        <f t="shared" si="30"/>
        <v>1</v>
      </c>
      <c r="J413" s="19"/>
      <c r="K413" s="20"/>
      <c r="L413" s="19"/>
      <c r="M413" t="str">
        <f t="shared" si="31"/>
        <v/>
      </c>
      <c r="N413" t="str">
        <f t="shared" si="32"/>
        <v/>
      </c>
    </row>
    <row r="414" spans="1:14" x14ac:dyDescent="0.25">
      <c r="A414" s="4" t="s">
        <v>144</v>
      </c>
      <c r="B414" s="1"/>
      <c r="C414" s="5" t="s">
        <v>5</v>
      </c>
      <c r="D414" s="13" t="s">
        <v>510</v>
      </c>
      <c r="E414" s="30">
        <v>17.190000000000001</v>
      </c>
      <c r="F414" s="43"/>
      <c r="G414" s="20">
        <f t="shared" si="29"/>
        <v>1</v>
      </c>
      <c r="H414" s="18"/>
      <c r="I414" s="19">
        <f t="shared" si="30"/>
        <v>1</v>
      </c>
      <c r="J414" s="19"/>
      <c r="K414" s="20"/>
      <c r="L414" s="19"/>
      <c r="M414" t="str">
        <f t="shared" si="31"/>
        <v/>
      </c>
      <c r="N414" t="str">
        <f t="shared" si="32"/>
        <v/>
      </c>
    </row>
    <row r="415" spans="1:14" x14ac:dyDescent="0.25">
      <c r="A415" s="2" t="s">
        <v>145</v>
      </c>
      <c r="B415" s="21"/>
      <c r="C415" s="3"/>
      <c r="D415" s="14">
        <v>558</v>
      </c>
      <c r="E415" s="31"/>
      <c r="F415" s="45" t="s">
        <v>756</v>
      </c>
      <c r="G415" s="20">
        <f t="shared" si="29"/>
        <v>1</v>
      </c>
      <c r="H415" s="18"/>
      <c r="I415" s="19">
        <f t="shared" si="30"/>
        <v>0</v>
      </c>
      <c r="J415" s="19"/>
      <c r="K415" s="20"/>
      <c r="L415" s="19"/>
    </row>
    <row r="416" spans="1:14" x14ac:dyDescent="0.25">
      <c r="A416" s="2" t="s">
        <v>300</v>
      </c>
      <c r="B416" s="21"/>
      <c r="C416" s="3"/>
      <c r="D416" s="14"/>
      <c r="E416" s="31"/>
      <c r="F416" s="45" t="s">
        <v>757</v>
      </c>
      <c r="G416" s="20">
        <f t="shared" si="29"/>
        <v>1</v>
      </c>
      <c r="H416" s="18"/>
      <c r="I416" s="19">
        <f t="shared" si="30"/>
        <v>0</v>
      </c>
      <c r="J416" s="19"/>
      <c r="K416" s="20"/>
      <c r="L416" s="19"/>
      <c r="M416" t="str">
        <f t="shared" si="31"/>
        <v/>
      </c>
      <c r="N416" t="str">
        <f t="shared" si="32"/>
        <v/>
      </c>
    </row>
    <row r="417" spans="1:14" x14ac:dyDescent="0.25">
      <c r="A417" s="4" t="s">
        <v>228</v>
      </c>
      <c r="B417" s="1"/>
      <c r="C417" s="5" t="s">
        <v>5</v>
      </c>
      <c r="D417" s="13"/>
      <c r="E417" s="30"/>
      <c r="F417" s="43"/>
      <c r="G417" s="20">
        <f t="shared" si="29"/>
        <v>1</v>
      </c>
      <c r="H417" s="18"/>
      <c r="I417" s="19">
        <f t="shared" si="30"/>
        <v>1</v>
      </c>
      <c r="J417" s="19"/>
      <c r="K417" s="20"/>
      <c r="L417" s="19"/>
      <c r="M417" t="str">
        <f t="shared" si="31"/>
        <v/>
      </c>
      <c r="N417" t="str">
        <f t="shared" si="32"/>
        <v/>
      </c>
    </row>
    <row r="418" spans="1:14" x14ac:dyDescent="0.25">
      <c r="A418" s="4" t="s">
        <v>275</v>
      </c>
      <c r="B418" s="1"/>
      <c r="C418" s="5" t="s">
        <v>5</v>
      </c>
      <c r="D418" s="13" t="s">
        <v>475</v>
      </c>
      <c r="E418" s="30">
        <v>23</v>
      </c>
      <c r="F418" s="43"/>
      <c r="G418" s="20">
        <f t="shared" si="29"/>
        <v>1</v>
      </c>
      <c r="H418" s="18"/>
      <c r="I418" s="19">
        <f t="shared" si="30"/>
        <v>1</v>
      </c>
      <c r="J418" s="19"/>
      <c r="K418" s="20"/>
      <c r="L418" s="19"/>
      <c r="M418" t="str">
        <f t="shared" si="31"/>
        <v/>
      </c>
      <c r="N418" t="str">
        <f t="shared" si="32"/>
        <v/>
      </c>
    </row>
    <row r="419" spans="1:14" x14ac:dyDescent="0.25">
      <c r="A419" s="4" t="s">
        <v>498</v>
      </c>
      <c r="B419" s="1"/>
      <c r="C419" s="5" t="s">
        <v>5</v>
      </c>
      <c r="D419" s="13"/>
      <c r="E419" s="30"/>
      <c r="F419" s="43"/>
      <c r="G419" s="20">
        <f t="shared" si="29"/>
        <v>1</v>
      </c>
      <c r="H419" s="18"/>
      <c r="I419" s="19">
        <f t="shared" si="30"/>
        <v>1</v>
      </c>
      <c r="J419" s="19"/>
      <c r="K419" s="20"/>
      <c r="L419" s="19"/>
      <c r="M419" t="str">
        <f t="shared" si="31"/>
        <v/>
      </c>
      <c r="N419" t="str">
        <f t="shared" si="32"/>
        <v/>
      </c>
    </row>
    <row r="420" spans="1:14" x14ac:dyDescent="0.25">
      <c r="A420" s="4" t="s">
        <v>229</v>
      </c>
      <c r="B420" s="1"/>
      <c r="C420" s="5" t="s">
        <v>5</v>
      </c>
      <c r="D420" s="13">
        <v>8</v>
      </c>
      <c r="E420" s="30"/>
      <c r="F420" s="43"/>
      <c r="G420" s="20">
        <f t="shared" si="29"/>
        <v>1</v>
      </c>
      <c r="H420" s="18"/>
      <c r="I420" s="19">
        <f t="shared" si="30"/>
        <v>1</v>
      </c>
      <c r="J420" s="19"/>
      <c r="K420" s="20"/>
      <c r="L420" s="19"/>
      <c r="M420" t="str">
        <f t="shared" si="31"/>
        <v/>
      </c>
      <c r="N420" t="str">
        <f t="shared" si="32"/>
        <v/>
      </c>
    </row>
    <row r="421" spans="1:14" x14ac:dyDescent="0.25">
      <c r="A421" s="4" t="s">
        <v>146</v>
      </c>
      <c r="B421" s="1"/>
      <c r="C421" s="5" t="s">
        <v>5</v>
      </c>
      <c r="D421" s="13" t="s">
        <v>422</v>
      </c>
      <c r="E421" s="30"/>
      <c r="F421" s="43"/>
      <c r="G421" s="20">
        <f t="shared" si="29"/>
        <v>1</v>
      </c>
      <c r="H421" s="18"/>
      <c r="I421" s="19">
        <f t="shared" si="30"/>
        <v>1</v>
      </c>
      <c r="J421" s="19"/>
      <c r="K421" s="20"/>
      <c r="L421" s="19"/>
      <c r="M421" t="str">
        <f t="shared" si="31"/>
        <v/>
      </c>
      <c r="N421" t="str">
        <f t="shared" si="32"/>
        <v/>
      </c>
    </row>
    <row r="422" spans="1:14" x14ac:dyDescent="0.25">
      <c r="A422" s="2" t="s">
        <v>383</v>
      </c>
      <c r="B422" s="21"/>
      <c r="C422" s="3"/>
      <c r="D422" s="14"/>
      <c r="E422" s="31"/>
      <c r="F422" s="45" t="s">
        <v>758</v>
      </c>
      <c r="G422" s="20">
        <f t="shared" si="29"/>
        <v>1</v>
      </c>
      <c r="H422" s="18"/>
      <c r="I422" s="19">
        <f t="shared" si="30"/>
        <v>0</v>
      </c>
      <c r="J422" s="19"/>
      <c r="K422" s="20"/>
      <c r="L422" s="19"/>
      <c r="M422" t="str">
        <f t="shared" si="31"/>
        <v/>
      </c>
      <c r="N422" t="str">
        <f t="shared" si="32"/>
        <v/>
      </c>
    </row>
    <row r="423" spans="1:14" x14ac:dyDescent="0.25">
      <c r="A423" s="2" t="s">
        <v>230</v>
      </c>
      <c r="B423" s="21"/>
      <c r="C423" s="3"/>
      <c r="D423" s="14"/>
      <c r="E423" s="31"/>
      <c r="F423" s="45" t="s">
        <v>759</v>
      </c>
      <c r="G423" s="20">
        <f t="shared" si="29"/>
        <v>1</v>
      </c>
      <c r="H423" s="18"/>
      <c r="I423" s="19">
        <f t="shared" si="30"/>
        <v>0</v>
      </c>
      <c r="J423" s="19"/>
      <c r="K423" s="20"/>
      <c r="L423" s="19"/>
      <c r="M423" t="str">
        <f t="shared" si="31"/>
        <v/>
      </c>
      <c r="N423" t="str">
        <f t="shared" si="32"/>
        <v/>
      </c>
    </row>
    <row r="424" spans="1:14" x14ac:dyDescent="0.25">
      <c r="A424" s="4" t="s">
        <v>147</v>
      </c>
      <c r="B424" s="1"/>
      <c r="C424" s="5" t="s">
        <v>5</v>
      </c>
      <c r="D424" s="13" t="s">
        <v>430</v>
      </c>
      <c r="E424" s="30">
        <v>12</v>
      </c>
      <c r="F424" s="43"/>
      <c r="G424" s="20">
        <f t="shared" si="29"/>
        <v>1</v>
      </c>
      <c r="H424" s="18"/>
      <c r="I424" s="19">
        <f t="shared" si="30"/>
        <v>1</v>
      </c>
      <c r="J424" s="19"/>
      <c r="K424" s="20"/>
      <c r="L424" s="19"/>
      <c r="M424" t="str">
        <f t="shared" si="31"/>
        <v/>
      </c>
      <c r="N424" t="str">
        <f t="shared" si="32"/>
        <v/>
      </c>
    </row>
    <row r="425" spans="1:14" x14ac:dyDescent="0.25">
      <c r="A425" s="4" t="s">
        <v>399</v>
      </c>
      <c r="B425" s="1"/>
      <c r="C425" s="5" t="s">
        <v>5</v>
      </c>
      <c r="D425" s="13"/>
      <c r="E425" s="30"/>
      <c r="F425" s="43"/>
      <c r="G425" s="20">
        <f t="shared" si="29"/>
        <v>1</v>
      </c>
      <c r="H425" s="18"/>
      <c r="I425" s="19">
        <f t="shared" si="30"/>
        <v>1</v>
      </c>
      <c r="J425" s="19"/>
      <c r="K425" s="20"/>
      <c r="L425" s="19"/>
      <c r="M425" t="str">
        <f t="shared" si="31"/>
        <v/>
      </c>
      <c r="N425" t="str">
        <f t="shared" si="32"/>
        <v/>
      </c>
    </row>
    <row r="426" spans="1:14" x14ac:dyDescent="0.25">
      <c r="A426" s="4" t="s">
        <v>276</v>
      </c>
      <c r="B426" s="1"/>
      <c r="C426" s="5" t="s">
        <v>5</v>
      </c>
      <c r="D426" s="13"/>
      <c r="E426" s="30"/>
      <c r="F426" s="43"/>
      <c r="G426" s="20">
        <f t="shared" si="29"/>
        <v>1</v>
      </c>
      <c r="H426" s="18"/>
      <c r="I426" s="19">
        <f t="shared" si="30"/>
        <v>1</v>
      </c>
      <c r="J426" s="19"/>
      <c r="K426" s="20"/>
      <c r="L426" s="19"/>
      <c r="M426" t="str">
        <f t="shared" si="31"/>
        <v/>
      </c>
      <c r="N426" t="str">
        <f t="shared" si="32"/>
        <v/>
      </c>
    </row>
    <row r="427" spans="1:14" x14ac:dyDescent="0.25">
      <c r="A427" s="4" t="s">
        <v>508</v>
      </c>
      <c r="B427" s="1"/>
      <c r="C427" s="5" t="s">
        <v>5</v>
      </c>
      <c r="D427" s="13" t="s">
        <v>494</v>
      </c>
      <c r="E427" s="30">
        <v>8.8800000000000008</v>
      </c>
      <c r="F427" s="43"/>
      <c r="G427" s="20">
        <f t="shared" si="29"/>
        <v>1</v>
      </c>
      <c r="H427" s="18"/>
      <c r="I427" s="19">
        <f t="shared" si="30"/>
        <v>1</v>
      </c>
      <c r="J427" s="19"/>
      <c r="K427" s="20"/>
      <c r="L427" s="19"/>
      <c r="M427" t="str">
        <f t="shared" si="31"/>
        <v/>
      </c>
      <c r="N427" t="str">
        <f t="shared" si="32"/>
        <v/>
      </c>
    </row>
    <row r="428" spans="1:14" x14ac:dyDescent="0.25">
      <c r="A428" s="2" t="s">
        <v>250</v>
      </c>
      <c r="B428" s="21"/>
      <c r="C428" s="3"/>
      <c r="D428" s="14" t="s">
        <v>761</v>
      </c>
      <c r="E428" s="31"/>
      <c r="F428" s="45" t="s">
        <v>760</v>
      </c>
      <c r="G428" s="20">
        <f t="shared" si="29"/>
        <v>1</v>
      </c>
      <c r="H428" s="18"/>
      <c r="I428" s="19">
        <f t="shared" si="30"/>
        <v>0</v>
      </c>
      <c r="J428" s="19"/>
      <c r="K428" s="20"/>
      <c r="L428" s="19"/>
    </row>
    <row r="429" spans="1:14" x14ac:dyDescent="0.25">
      <c r="A429" s="4" t="s">
        <v>292</v>
      </c>
      <c r="B429" s="1"/>
      <c r="C429" s="5" t="s">
        <v>5</v>
      </c>
      <c r="D429" s="13"/>
      <c r="E429" s="30"/>
      <c r="F429" s="43"/>
      <c r="G429" s="20">
        <f t="shared" si="29"/>
        <v>1</v>
      </c>
      <c r="H429" s="18"/>
      <c r="I429" s="19">
        <f t="shared" si="30"/>
        <v>1</v>
      </c>
      <c r="J429" s="19"/>
      <c r="K429" s="20"/>
      <c r="L429" s="19"/>
      <c r="M429" t="str">
        <f t="shared" si="31"/>
        <v/>
      </c>
      <c r="N429" t="str">
        <f t="shared" si="32"/>
        <v/>
      </c>
    </row>
    <row r="430" spans="1:14" x14ac:dyDescent="0.25">
      <c r="A430" s="2" t="s">
        <v>293</v>
      </c>
      <c r="B430" s="21"/>
      <c r="C430" s="3"/>
      <c r="D430" s="14" t="s">
        <v>763</v>
      </c>
      <c r="E430" s="31"/>
      <c r="F430" s="45" t="s">
        <v>808</v>
      </c>
      <c r="G430" s="20">
        <f t="shared" si="29"/>
        <v>1</v>
      </c>
      <c r="H430" s="18"/>
      <c r="I430" s="19">
        <f t="shared" si="30"/>
        <v>0</v>
      </c>
      <c r="J430" s="19"/>
      <c r="K430" s="20"/>
      <c r="L430" s="19"/>
      <c r="M430" t="str">
        <f t="shared" si="31"/>
        <v/>
      </c>
      <c r="N430" t="str">
        <f t="shared" si="32"/>
        <v/>
      </c>
    </row>
    <row r="431" spans="1:14" x14ac:dyDescent="0.25">
      <c r="A431" s="2" t="s">
        <v>291</v>
      </c>
      <c r="B431" s="21"/>
      <c r="C431" s="3"/>
      <c r="D431" s="14"/>
      <c r="E431" s="31"/>
      <c r="F431" s="45" t="s">
        <v>762</v>
      </c>
      <c r="G431" s="20">
        <f t="shared" si="29"/>
        <v>1</v>
      </c>
      <c r="H431" s="18"/>
      <c r="I431" s="19">
        <f t="shared" si="30"/>
        <v>0</v>
      </c>
      <c r="J431" s="19"/>
      <c r="K431" s="20"/>
      <c r="L431" s="19"/>
      <c r="M431" t="str">
        <f t="shared" si="31"/>
        <v/>
      </c>
      <c r="N431" t="str">
        <f t="shared" si="32"/>
        <v/>
      </c>
    </row>
    <row r="432" spans="1:14" x14ac:dyDescent="0.25">
      <c r="A432" s="4" t="s">
        <v>294</v>
      </c>
      <c r="B432" s="1"/>
      <c r="C432" s="5" t="s">
        <v>5</v>
      </c>
      <c r="D432" s="13"/>
      <c r="E432" s="30"/>
      <c r="F432" s="43"/>
      <c r="G432" s="20">
        <f t="shared" si="29"/>
        <v>1</v>
      </c>
      <c r="H432" s="18"/>
      <c r="I432" s="19">
        <f t="shared" si="30"/>
        <v>1</v>
      </c>
      <c r="J432" s="19"/>
      <c r="K432" s="20"/>
      <c r="L432" s="19"/>
      <c r="M432" t="str">
        <f t="shared" si="31"/>
        <v/>
      </c>
      <c r="N432" t="str">
        <f t="shared" si="32"/>
        <v/>
      </c>
    </row>
    <row r="433" spans="1:14" x14ac:dyDescent="0.25">
      <c r="A433" s="4" t="s">
        <v>236</v>
      </c>
      <c r="B433" s="1"/>
      <c r="C433" s="5" t="s">
        <v>5</v>
      </c>
      <c r="D433" s="13"/>
      <c r="E433" s="30"/>
      <c r="F433" s="43"/>
      <c r="G433" s="20">
        <f t="shared" si="29"/>
        <v>1</v>
      </c>
      <c r="H433" s="18"/>
      <c r="I433" s="19">
        <f t="shared" si="30"/>
        <v>1</v>
      </c>
      <c r="J433" s="19"/>
      <c r="K433" s="20"/>
      <c r="L433" s="19"/>
      <c r="M433" t="str">
        <f t="shared" si="31"/>
        <v/>
      </c>
      <c r="N433" t="str">
        <f t="shared" si="32"/>
        <v/>
      </c>
    </row>
    <row r="434" spans="1:14" x14ac:dyDescent="0.25">
      <c r="A434" s="4" t="s">
        <v>372</v>
      </c>
      <c r="B434" s="1"/>
      <c r="C434" s="5" t="s">
        <v>5</v>
      </c>
      <c r="D434" s="13"/>
      <c r="E434" s="30"/>
      <c r="F434" s="43"/>
      <c r="G434" s="20">
        <f t="shared" si="29"/>
        <v>1</v>
      </c>
      <c r="H434" s="18"/>
      <c r="I434" s="19">
        <f t="shared" si="30"/>
        <v>1</v>
      </c>
      <c r="J434" s="19"/>
      <c r="K434" s="20"/>
      <c r="L434" s="19"/>
      <c r="M434" t="str">
        <f t="shared" si="31"/>
        <v/>
      </c>
      <c r="N434" t="str">
        <f t="shared" si="32"/>
        <v/>
      </c>
    </row>
    <row r="435" spans="1:14" x14ac:dyDescent="0.25">
      <c r="A435" s="2" t="s">
        <v>277</v>
      </c>
      <c r="B435" s="21"/>
      <c r="C435" s="3"/>
      <c r="D435" s="14"/>
      <c r="E435" s="31"/>
      <c r="F435" s="45" t="s">
        <v>764</v>
      </c>
      <c r="G435" s="20">
        <f t="shared" si="29"/>
        <v>1</v>
      </c>
      <c r="H435" s="18"/>
      <c r="I435" s="19">
        <f t="shared" si="30"/>
        <v>0</v>
      </c>
      <c r="J435" s="19"/>
      <c r="K435" s="20"/>
      <c r="L435" s="19"/>
      <c r="M435" t="str">
        <f t="shared" si="31"/>
        <v/>
      </c>
      <c r="N435" t="str">
        <f t="shared" si="32"/>
        <v/>
      </c>
    </row>
    <row r="436" spans="1:14" x14ac:dyDescent="0.25">
      <c r="A436" s="4" t="s">
        <v>353</v>
      </c>
      <c r="B436" s="1"/>
      <c r="C436" s="5" t="s">
        <v>5</v>
      </c>
      <c r="D436" s="13" t="s">
        <v>422</v>
      </c>
      <c r="E436" s="30"/>
      <c r="F436" s="43"/>
      <c r="G436" s="20">
        <f t="shared" si="29"/>
        <v>1</v>
      </c>
      <c r="H436" s="18"/>
      <c r="I436" s="19">
        <f t="shared" si="30"/>
        <v>1</v>
      </c>
      <c r="J436" s="19"/>
      <c r="K436" s="20"/>
      <c r="L436" s="19"/>
      <c r="M436" t="str">
        <f t="shared" si="31"/>
        <v/>
      </c>
      <c r="N436" t="str">
        <f t="shared" si="32"/>
        <v/>
      </c>
    </row>
    <row r="437" spans="1:14" x14ac:dyDescent="0.25">
      <c r="A437" s="4" t="s">
        <v>251</v>
      </c>
      <c r="B437" s="1"/>
      <c r="C437" s="5" t="s">
        <v>5</v>
      </c>
      <c r="D437" s="13"/>
      <c r="E437" s="30"/>
      <c r="F437" s="43"/>
      <c r="G437" s="20">
        <f t="shared" si="29"/>
        <v>1</v>
      </c>
      <c r="H437" s="18"/>
      <c r="I437" s="19">
        <f t="shared" si="30"/>
        <v>1</v>
      </c>
      <c r="J437" s="19"/>
      <c r="K437" s="20"/>
      <c r="L437" s="19"/>
      <c r="M437" t="str">
        <f t="shared" si="31"/>
        <v/>
      </c>
      <c r="N437" t="str">
        <f t="shared" si="32"/>
        <v/>
      </c>
    </row>
    <row r="438" spans="1:14" x14ac:dyDescent="0.25">
      <c r="A438" s="2" t="s">
        <v>766</v>
      </c>
      <c r="B438" s="21"/>
      <c r="C438" s="3"/>
      <c r="D438" s="14"/>
      <c r="E438" s="31"/>
      <c r="F438" s="45" t="s">
        <v>765</v>
      </c>
      <c r="G438" s="20">
        <f t="shared" si="29"/>
        <v>1</v>
      </c>
      <c r="H438" s="18"/>
      <c r="I438" s="19">
        <f t="shared" si="30"/>
        <v>0</v>
      </c>
      <c r="J438" s="19"/>
      <c r="K438" s="20"/>
      <c r="L438" s="19"/>
      <c r="M438" t="str">
        <f t="shared" si="31"/>
        <v/>
      </c>
      <c r="N438" t="str">
        <f t="shared" si="32"/>
        <v/>
      </c>
    </row>
    <row r="439" spans="1:14" x14ac:dyDescent="0.25">
      <c r="A439" s="4" t="s">
        <v>148</v>
      </c>
      <c r="B439" s="1"/>
      <c r="C439" s="5" t="s">
        <v>5</v>
      </c>
      <c r="D439" s="13" t="s">
        <v>446</v>
      </c>
      <c r="E439" s="30"/>
      <c r="F439" s="43"/>
      <c r="G439" s="20">
        <f t="shared" si="29"/>
        <v>1</v>
      </c>
      <c r="H439" s="18"/>
      <c r="I439" s="19">
        <f t="shared" si="30"/>
        <v>1</v>
      </c>
      <c r="J439" s="19"/>
      <c r="K439" s="20"/>
      <c r="L439" s="19"/>
    </row>
    <row r="440" spans="1:14" x14ac:dyDescent="0.25">
      <c r="A440" s="4" t="s">
        <v>149</v>
      </c>
      <c r="B440" s="1"/>
      <c r="C440" s="5" t="s">
        <v>5</v>
      </c>
      <c r="D440" s="13" t="s">
        <v>422</v>
      </c>
      <c r="E440" s="30"/>
      <c r="F440" s="43"/>
      <c r="G440" s="20">
        <f t="shared" si="29"/>
        <v>1</v>
      </c>
      <c r="H440" s="18"/>
      <c r="I440" s="19">
        <f t="shared" si="30"/>
        <v>1</v>
      </c>
      <c r="J440" s="19"/>
      <c r="K440" s="20"/>
      <c r="L440" s="19"/>
      <c r="M440" t="str">
        <f t="shared" si="31"/>
        <v/>
      </c>
      <c r="N440" t="str">
        <f t="shared" si="32"/>
        <v/>
      </c>
    </row>
    <row r="441" spans="1:14" x14ac:dyDescent="0.25">
      <c r="A441" s="2" t="s">
        <v>150</v>
      </c>
      <c r="B441" s="21"/>
      <c r="C441" s="3"/>
      <c r="D441" s="14" t="s">
        <v>761</v>
      </c>
      <c r="E441" s="31"/>
      <c r="F441" s="45" t="s">
        <v>767</v>
      </c>
      <c r="G441" s="20">
        <f t="shared" si="29"/>
        <v>1</v>
      </c>
      <c r="H441" s="18"/>
      <c r="I441" s="19">
        <f t="shared" si="30"/>
        <v>0</v>
      </c>
      <c r="J441" s="19"/>
      <c r="K441" s="20"/>
      <c r="L441" s="19"/>
      <c r="M441" t="str">
        <f t="shared" si="31"/>
        <v/>
      </c>
      <c r="N441" t="str">
        <f t="shared" si="32"/>
        <v/>
      </c>
    </row>
    <row r="442" spans="1:14" x14ac:dyDescent="0.25">
      <c r="A442" s="4" t="s">
        <v>252</v>
      </c>
      <c r="B442" s="1"/>
      <c r="C442" s="5" t="s">
        <v>5</v>
      </c>
      <c r="D442" s="13"/>
      <c r="E442" s="30"/>
      <c r="F442" s="43"/>
      <c r="G442" s="20">
        <f t="shared" si="29"/>
        <v>1</v>
      </c>
      <c r="H442" s="18"/>
      <c r="I442" s="19">
        <f t="shared" si="30"/>
        <v>1</v>
      </c>
      <c r="J442" s="19"/>
      <c r="K442" s="20"/>
      <c r="L442" s="19"/>
      <c r="M442" t="str">
        <f t="shared" si="31"/>
        <v/>
      </c>
      <c r="N442" t="str">
        <f t="shared" si="32"/>
        <v/>
      </c>
    </row>
    <row r="443" spans="1:14" x14ac:dyDescent="0.25">
      <c r="A443" s="4" t="s">
        <v>404</v>
      </c>
      <c r="B443" s="1"/>
      <c r="C443" s="5" t="s">
        <v>5</v>
      </c>
      <c r="D443" s="13"/>
      <c r="E443" s="30"/>
      <c r="F443" s="43"/>
      <c r="G443" s="20">
        <f t="shared" si="29"/>
        <v>1</v>
      </c>
      <c r="H443" s="18"/>
      <c r="I443" s="19">
        <f t="shared" si="30"/>
        <v>1</v>
      </c>
      <c r="J443" s="19"/>
      <c r="K443" s="20"/>
      <c r="L443" s="19"/>
      <c r="M443" t="str">
        <f t="shared" si="31"/>
        <v/>
      </c>
      <c r="N443" t="str">
        <f t="shared" si="32"/>
        <v/>
      </c>
    </row>
    <row r="444" spans="1:14" x14ac:dyDescent="0.25">
      <c r="A444" s="4" t="s">
        <v>151</v>
      </c>
      <c r="B444" s="1"/>
      <c r="C444" s="5" t="s">
        <v>5</v>
      </c>
      <c r="D444" s="13" t="s">
        <v>422</v>
      </c>
      <c r="E444" s="30"/>
      <c r="F444" s="43"/>
      <c r="G444" s="20">
        <f t="shared" si="29"/>
        <v>1</v>
      </c>
      <c r="H444" s="18"/>
      <c r="I444" s="19">
        <f t="shared" si="30"/>
        <v>1</v>
      </c>
      <c r="J444" s="19"/>
      <c r="K444" s="20"/>
      <c r="L444" s="19"/>
      <c r="M444" t="str">
        <f t="shared" si="31"/>
        <v/>
      </c>
      <c r="N444" t="str">
        <f t="shared" si="32"/>
        <v/>
      </c>
    </row>
    <row r="445" spans="1:14" x14ac:dyDescent="0.25">
      <c r="A445" s="4" t="s">
        <v>152</v>
      </c>
      <c r="B445" s="1"/>
      <c r="C445" s="5" t="s">
        <v>5</v>
      </c>
      <c r="D445" s="13" t="s">
        <v>494</v>
      </c>
      <c r="E445" s="30">
        <v>16.579999999999998</v>
      </c>
      <c r="F445" s="46"/>
      <c r="G445" s="20">
        <f t="shared" si="29"/>
        <v>1</v>
      </c>
      <c r="H445" s="18"/>
      <c r="I445" s="19">
        <f t="shared" si="30"/>
        <v>1</v>
      </c>
      <c r="J445" s="19"/>
      <c r="K445" s="20"/>
      <c r="L445" s="19"/>
      <c r="M445" t="str">
        <f t="shared" si="31"/>
        <v/>
      </c>
      <c r="N445" t="str">
        <f t="shared" si="32"/>
        <v/>
      </c>
    </row>
    <row r="446" spans="1:14" x14ac:dyDescent="0.25">
      <c r="A446" s="4" t="s">
        <v>153</v>
      </c>
      <c r="B446" s="1"/>
      <c r="C446" s="5" t="s">
        <v>5</v>
      </c>
      <c r="D446" s="13" t="s">
        <v>430</v>
      </c>
      <c r="E446" s="30">
        <v>11</v>
      </c>
      <c r="F446" s="43"/>
      <c r="G446" s="20">
        <f t="shared" si="29"/>
        <v>1</v>
      </c>
      <c r="H446" s="18"/>
      <c r="I446" s="19">
        <f t="shared" si="30"/>
        <v>1</v>
      </c>
      <c r="J446" s="19"/>
      <c r="K446" s="20"/>
      <c r="L446" s="19"/>
      <c r="M446" t="str">
        <f t="shared" si="31"/>
        <v/>
      </c>
      <c r="N446" t="str">
        <f t="shared" si="32"/>
        <v/>
      </c>
    </row>
    <row r="447" spans="1:14" x14ac:dyDescent="0.25">
      <c r="A447" s="4" t="s">
        <v>154</v>
      </c>
      <c r="B447" s="1"/>
      <c r="C447" s="5" t="s">
        <v>5</v>
      </c>
      <c r="D447" s="13" t="s">
        <v>471</v>
      </c>
      <c r="E447" s="30"/>
      <c r="F447" s="43"/>
      <c r="G447" s="20">
        <f t="shared" si="29"/>
        <v>1</v>
      </c>
      <c r="H447" s="18"/>
      <c r="I447" s="19">
        <f t="shared" si="30"/>
        <v>1</v>
      </c>
      <c r="J447" s="19"/>
      <c r="K447" s="20"/>
      <c r="L447" s="19"/>
      <c r="M447" t="str">
        <f t="shared" si="31"/>
        <v/>
      </c>
      <c r="N447" t="str">
        <f t="shared" si="32"/>
        <v/>
      </c>
    </row>
    <row r="448" spans="1:14" x14ac:dyDescent="0.25">
      <c r="A448" s="2" t="s">
        <v>488</v>
      </c>
      <c r="B448" s="21"/>
      <c r="C448" s="3"/>
      <c r="D448" s="14" t="s">
        <v>489</v>
      </c>
      <c r="E448" s="31"/>
      <c r="F448" s="45" t="s">
        <v>768</v>
      </c>
      <c r="G448" s="20">
        <f t="shared" si="29"/>
        <v>1</v>
      </c>
      <c r="H448" s="18"/>
      <c r="I448" s="19">
        <f t="shared" si="30"/>
        <v>0</v>
      </c>
      <c r="J448" s="19"/>
      <c r="K448" s="20"/>
      <c r="L448" s="19"/>
      <c r="M448" t="str">
        <f t="shared" si="31"/>
        <v/>
      </c>
      <c r="N448" t="str">
        <f t="shared" si="32"/>
        <v/>
      </c>
    </row>
    <row r="449" spans="1:14" x14ac:dyDescent="0.25">
      <c r="A449" s="4" t="s">
        <v>155</v>
      </c>
      <c r="B449" s="1"/>
      <c r="C449" s="5" t="s">
        <v>5</v>
      </c>
      <c r="D449" s="13"/>
      <c r="E449" s="30"/>
      <c r="F449" s="43"/>
      <c r="G449" s="20">
        <f t="shared" si="29"/>
        <v>1</v>
      </c>
      <c r="H449" s="18"/>
      <c r="I449" s="19">
        <f t="shared" si="30"/>
        <v>1</v>
      </c>
      <c r="J449" s="19"/>
      <c r="K449" s="20"/>
      <c r="L449" s="19"/>
      <c r="M449" t="str">
        <f t="shared" si="31"/>
        <v/>
      </c>
      <c r="N449" t="str">
        <f t="shared" si="32"/>
        <v/>
      </c>
    </row>
    <row r="450" spans="1:14" x14ac:dyDescent="0.25">
      <c r="A450" s="4" t="s">
        <v>496</v>
      </c>
      <c r="B450" s="1"/>
      <c r="C450" s="5" t="s">
        <v>5</v>
      </c>
      <c r="D450" s="13" t="s">
        <v>802</v>
      </c>
      <c r="E450" s="30">
        <v>9</v>
      </c>
      <c r="F450" s="46" t="s">
        <v>795</v>
      </c>
      <c r="G450" s="20">
        <f t="shared" si="29"/>
        <v>1</v>
      </c>
      <c r="H450" s="18"/>
      <c r="I450" s="19">
        <f t="shared" si="30"/>
        <v>1</v>
      </c>
      <c r="J450" s="19"/>
      <c r="K450" s="20"/>
      <c r="L450" s="19"/>
      <c r="M450" t="str">
        <f t="shared" si="31"/>
        <v/>
      </c>
      <c r="N450" t="str">
        <f t="shared" si="32"/>
        <v/>
      </c>
    </row>
    <row r="451" spans="1:14" x14ac:dyDescent="0.25">
      <c r="A451" s="4" t="s">
        <v>405</v>
      </c>
      <c r="B451" s="1"/>
      <c r="C451" s="5" t="s">
        <v>5</v>
      </c>
      <c r="D451" s="13"/>
      <c r="E451" s="30">
        <v>10</v>
      </c>
      <c r="F451" s="43"/>
      <c r="G451" s="20">
        <f t="shared" si="29"/>
        <v>1</v>
      </c>
      <c r="H451" s="18"/>
      <c r="I451" s="19">
        <f t="shared" si="30"/>
        <v>1</v>
      </c>
      <c r="J451" s="19"/>
      <c r="K451" s="20"/>
      <c r="L451" s="19"/>
      <c r="M451" t="str">
        <f t="shared" si="31"/>
        <v/>
      </c>
      <c r="N451" t="str">
        <f t="shared" si="32"/>
        <v/>
      </c>
    </row>
    <row r="452" spans="1:14" x14ac:dyDescent="0.25">
      <c r="A452" s="4" t="s">
        <v>264</v>
      </c>
      <c r="B452" s="1"/>
      <c r="C452" s="5" t="s">
        <v>5</v>
      </c>
      <c r="D452" s="13"/>
      <c r="E452" s="30"/>
      <c r="F452" s="43"/>
      <c r="G452" s="20">
        <f t="shared" si="29"/>
        <v>1</v>
      </c>
      <c r="H452" s="18"/>
      <c r="I452" s="19">
        <f t="shared" si="30"/>
        <v>1</v>
      </c>
      <c r="J452" s="19"/>
      <c r="K452" s="20"/>
      <c r="L452" s="19"/>
      <c r="M452" t="str">
        <f t="shared" si="31"/>
        <v/>
      </c>
      <c r="N452" t="str">
        <f t="shared" si="32"/>
        <v/>
      </c>
    </row>
    <row r="453" spans="1:14" x14ac:dyDescent="0.25">
      <c r="A453" s="4" t="s">
        <v>156</v>
      </c>
      <c r="B453" s="1"/>
      <c r="C453" s="5" t="s">
        <v>5</v>
      </c>
      <c r="D453" s="13" t="s">
        <v>494</v>
      </c>
      <c r="E453" s="30">
        <v>8.83</v>
      </c>
      <c r="F453" s="43"/>
      <c r="G453" s="20">
        <f t="shared" si="29"/>
        <v>1</v>
      </c>
      <c r="H453" s="18"/>
      <c r="I453" s="19">
        <f t="shared" si="30"/>
        <v>1</v>
      </c>
      <c r="J453" s="19"/>
      <c r="K453" s="20"/>
      <c r="L453" s="19"/>
      <c r="M453" t="str">
        <f t="shared" si="31"/>
        <v/>
      </c>
      <c r="N453" t="str">
        <f t="shared" si="32"/>
        <v/>
      </c>
    </row>
    <row r="454" spans="1:14" x14ac:dyDescent="0.25">
      <c r="A454" s="4" t="s">
        <v>388</v>
      </c>
      <c r="B454" s="1"/>
      <c r="C454" s="5" t="s">
        <v>5</v>
      </c>
      <c r="D454" s="13" t="s">
        <v>524</v>
      </c>
      <c r="E454" s="30">
        <v>20</v>
      </c>
      <c r="F454" s="43">
        <v>15</v>
      </c>
      <c r="G454" s="20">
        <f t="shared" si="29"/>
        <v>1</v>
      </c>
      <c r="H454" s="18"/>
      <c r="I454" s="19">
        <f t="shared" si="30"/>
        <v>1</v>
      </c>
      <c r="J454" s="19"/>
      <c r="K454" s="20"/>
      <c r="L454" s="19"/>
      <c r="M454" t="str">
        <f t="shared" si="31"/>
        <v/>
      </c>
      <c r="N454" t="str">
        <f t="shared" si="32"/>
        <v/>
      </c>
    </row>
    <row r="455" spans="1:14" x14ac:dyDescent="0.25">
      <c r="A455" s="2" t="s">
        <v>185</v>
      </c>
      <c r="B455" s="21"/>
      <c r="C455" s="3"/>
      <c r="D455" s="14"/>
      <c r="E455" s="31"/>
      <c r="F455" s="45" t="s">
        <v>769</v>
      </c>
      <c r="G455" s="20">
        <f t="shared" si="29"/>
        <v>1</v>
      </c>
      <c r="H455" s="18"/>
      <c r="I455" s="19">
        <f t="shared" si="30"/>
        <v>0</v>
      </c>
      <c r="J455" s="19"/>
      <c r="K455" s="20"/>
      <c r="L455" s="19"/>
      <c r="M455" t="str">
        <f t="shared" si="31"/>
        <v/>
      </c>
      <c r="N455" t="str">
        <f t="shared" si="32"/>
        <v/>
      </c>
    </row>
    <row r="456" spans="1:14" x14ac:dyDescent="0.25">
      <c r="A456" s="63" t="s">
        <v>469</v>
      </c>
      <c r="B456" s="64"/>
      <c r="C456" s="65" t="s">
        <v>5</v>
      </c>
      <c r="D456" s="66" t="s">
        <v>456</v>
      </c>
      <c r="E456" s="67">
        <v>8</v>
      </c>
      <c r="F456" s="68"/>
      <c r="G456" s="20">
        <f t="shared" ref="G456:G512" si="33">COUNTA(A456)</f>
        <v>1</v>
      </c>
      <c r="H456" s="18"/>
      <c r="I456" s="19">
        <f t="shared" ref="I456:I512" si="34">COUNTA(C456)</f>
        <v>1</v>
      </c>
      <c r="J456" s="19"/>
      <c r="K456" s="20"/>
      <c r="L456" s="19"/>
      <c r="M456" t="str">
        <f t="shared" si="31"/>
        <v/>
      </c>
      <c r="N456" t="str">
        <f t="shared" si="32"/>
        <v/>
      </c>
    </row>
    <row r="457" spans="1:14" x14ac:dyDescent="0.25">
      <c r="A457" s="4" t="s">
        <v>390</v>
      </c>
      <c r="B457" s="1"/>
      <c r="C457" s="5" t="s">
        <v>5</v>
      </c>
      <c r="D457" s="13"/>
      <c r="E457" s="30"/>
      <c r="F457" s="43"/>
      <c r="G457" s="20">
        <f t="shared" si="33"/>
        <v>1</v>
      </c>
      <c r="H457" s="18"/>
      <c r="I457" s="19">
        <f t="shared" si="34"/>
        <v>1</v>
      </c>
      <c r="J457" s="19"/>
      <c r="K457" s="20"/>
      <c r="L457" s="19"/>
      <c r="M457" t="str">
        <f t="shared" si="31"/>
        <v/>
      </c>
      <c r="N457" t="str">
        <f t="shared" si="32"/>
        <v/>
      </c>
    </row>
    <row r="458" spans="1:14" x14ac:dyDescent="0.25">
      <c r="A458" s="63" t="s">
        <v>157</v>
      </c>
      <c r="B458" s="64"/>
      <c r="C458" s="65" t="s">
        <v>5</v>
      </c>
      <c r="D458" s="66" t="s">
        <v>430</v>
      </c>
      <c r="E458" s="67">
        <v>14</v>
      </c>
      <c r="F458" s="68"/>
      <c r="G458" s="20">
        <f t="shared" si="33"/>
        <v>1</v>
      </c>
      <c r="H458" s="18"/>
      <c r="I458" s="19">
        <f t="shared" si="34"/>
        <v>1</v>
      </c>
      <c r="J458" s="19"/>
      <c r="K458" s="20"/>
      <c r="L458" s="19"/>
      <c r="M458" t="str">
        <f t="shared" si="31"/>
        <v/>
      </c>
      <c r="N458" t="str">
        <f t="shared" si="32"/>
        <v/>
      </c>
    </row>
    <row r="459" spans="1:14" x14ac:dyDescent="0.25">
      <c r="A459" s="38" t="s">
        <v>158</v>
      </c>
      <c r="B459" s="39"/>
      <c r="C459" s="40"/>
      <c r="D459" s="41"/>
      <c r="E459" s="42"/>
      <c r="F459" s="72" t="s">
        <v>725</v>
      </c>
      <c r="G459" s="20">
        <f t="shared" si="33"/>
        <v>1</v>
      </c>
      <c r="H459" s="18"/>
      <c r="I459" s="19">
        <f t="shared" si="34"/>
        <v>0</v>
      </c>
      <c r="J459" s="19"/>
      <c r="K459" s="20"/>
      <c r="L459" s="19"/>
      <c r="M459" t="str">
        <f t="shared" si="31"/>
        <v/>
      </c>
      <c r="N459" t="str">
        <f t="shared" si="32"/>
        <v/>
      </c>
    </row>
    <row r="460" spans="1:14" x14ac:dyDescent="0.25">
      <c r="A460" s="4" t="s">
        <v>377</v>
      </c>
      <c r="B460" s="1"/>
      <c r="C460" s="5" t="s">
        <v>5</v>
      </c>
      <c r="D460" s="13"/>
      <c r="E460" s="30"/>
      <c r="F460" s="43"/>
      <c r="G460" s="20">
        <f t="shared" si="33"/>
        <v>1</v>
      </c>
      <c r="H460" s="18"/>
      <c r="I460" s="19">
        <f t="shared" si="34"/>
        <v>1</v>
      </c>
      <c r="J460" s="19"/>
      <c r="K460" s="20"/>
      <c r="L460" s="19"/>
      <c r="M460" t="str">
        <f t="shared" si="31"/>
        <v/>
      </c>
      <c r="N460" t="str">
        <f t="shared" si="32"/>
        <v/>
      </c>
    </row>
    <row r="461" spans="1:14" x14ac:dyDescent="0.25">
      <c r="A461" s="4" t="s">
        <v>159</v>
      </c>
      <c r="B461" s="1"/>
      <c r="C461" s="5" t="s">
        <v>5</v>
      </c>
      <c r="D461" s="13"/>
      <c r="E461" s="30"/>
      <c r="F461" s="43"/>
      <c r="G461" s="20">
        <f t="shared" si="33"/>
        <v>1</v>
      </c>
      <c r="H461" s="18"/>
      <c r="I461" s="19">
        <f t="shared" si="34"/>
        <v>1</v>
      </c>
      <c r="J461" s="19"/>
      <c r="K461" s="20"/>
      <c r="L461" s="19"/>
      <c r="M461" t="str">
        <f t="shared" si="31"/>
        <v/>
      </c>
      <c r="N461" t="str">
        <f t="shared" si="32"/>
        <v/>
      </c>
    </row>
    <row r="462" spans="1:14" x14ac:dyDescent="0.25">
      <c r="A462" s="2" t="s">
        <v>506</v>
      </c>
      <c r="B462" s="21"/>
      <c r="C462" s="3"/>
      <c r="D462" s="14"/>
      <c r="E462" s="31"/>
      <c r="F462" s="45" t="s">
        <v>772</v>
      </c>
      <c r="G462" s="20">
        <f t="shared" si="33"/>
        <v>1</v>
      </c>
      <c r="H462" s="18"/>
      <c r="I462" s="19">
        <f t="shared" si="34"/>
        <v>0</v>
      </c>
      <c r="J462" s="19"/>
      <c r="K462" s="20"/>
      <c r="L462" s="19"/>
      <c r="M462" t="str">
        <f t="shared" si="31"/>
        <v/>
      </c>
      <c r="N462" t="str">
        <f t="shared" si="32"/>
        <v/>
      </c>
    </row>
    <row r="463" spans="1:14" x14ac:dyDescent="0.25">
      <c r="A463" s="2" t="s">
        <v>160</v>
      </c>
      <c r="B463" s="21"/>
      <c r="C463" s="3"/>
      <c r="D463" s="14"/>
      <c r="E463" s="31"/>
      <c r="F463" s="45" t="s">
        <v>773</v>
      </c>
      <c r="G463" s="20">
        <f t="shared" si="33"/>
        <v>1</v>
      </c>
      <c r="H463" s="18"/>
      <c r="I463" s="19">
        <f t="shared" si="34"/>
        <v>0</v>
      </c>
      <c r="J463" s="19"/>
      <c r="K463" s="20"/>
      <c r="L463" s="19"/>
      <c r="M463" t="str">
        <f t="shared" si="31"/>
        <v/>
      </c>
      <c r="N463" t="str">
        <f t="shared" si="32"/>
        <v/>
      </c>
    </row>
    <row r="464" spans="1:14" x14ac:dyDescent="0.25">
      <c r="A464" s="2" t="s">
        <v>501</v>
      </c>
      <c r="B464" s="21"/>
      <c r="C464" s="3"/>
      <c r="D464" s="14" t="s">
        <v>774</v>
      </c>
      <c r="E464" s="31"/>
      <c r="F464" s="45" t="s">
        <v>775</v>
      </c>
      <c r="G464" s="20">
        <f t="shared" si="33"/>
        <v>1</v>
      </c>
      <c r="H464" s="18"/>
      <c r="I464" s="19">
        <f t="shared" si="34"/>
        <v>0</v>
      </c>
      <c r="J464" s="19"/>
      <c r="K464" s="20"/>
      <c r="L464" s="19"/>
      <c r="M464" t="str">
        <f t="shared" si="31"/>
        <v/>
      </c>
      <c r="N464" t="str">
        <f t="shared" si="32"/>
        <v/>
      </c>
    </row>
    <row r="465" spans="1:14" x14ac:dyDescent="0.25">
      <c r="A465" s="4" t="s">
        <v>420</v>
      </c>
      <c r="B465" s="1"/>
      <c r="C465" s="5" t="s">
        <v>5</v>
      </c>
      <c r="D465" s="13"/>
      <c r="E465" s="30"/>
      <c r="F465" s="43"/>
      <c r="G465" s="20">
        <f t="shared" si="33"/>
        <v>1</v>
      </c>
      <c r="H465" s="18"/>
      <c r="I465" s="19">
        <f t="shared" si="34"/>
        <v>1</v>
      </c>
      <c r="J465" s="19"/>
      <c r="K465" s="20"/>
      <c r="L465" s="19"/>
    </row>
    <row r="466" spans="1:14" x14ac:dyDescent="0.25">
      <c r="A466" s="4" t="s">
        <v>186</v>
      </c>
      <c r="B466" s="1"/>
      <c r="C466" s="5" t="s">
        <v>5</v>
      </c>
      <c r="D466" s="13"/>
      <c r="E466" s="30"/>
      <c r="F466" s="43"/>
      <c r="G466" s="20">
        <f t="shared" si="33"/>
        <v>1</v>
      </c>
      <c r="H466" s="18"/>
      <c r="I466" s="19">
        <f t="shared" si="34"/>
        <v>1</v>
      </c>
      <c r="J466" s="19"/>
      <c r="K466" s="20"/>
      <c r="L466" s="19"/>
      <c r="M466" t="str">
        <f t="shared" si="31"/>
        <v/>
      </c>
      <c r="N466" t="str">
        <f t="shared" si="32"/>
        <v/>
      </c>
    </row>
    <row r="467" spans="1:14" x14ac:dyDescent="0.25">
      <c r="A467" s="2" t="s">
        <v>335</v>
      </c>
      <c r="B467" s="21"/>
      <c r="C467" s="3"/>
      <c r="D467" s="14"/>
      <c r="E467" s="31"/>
      <c r="F467" s="45" t="s">
        <v>776</v>
      </c>
      <c r="G467" s="20">
        <f t="shared" si="33"/>
        <v>1</v>
      </c>
      <c r="H467" s="18"/>
      <c r="I467" s="19">
        <f t="shared" si="34"/>
        <v>0</v>
      </c>
      <c r="J467" s="19"/>
      <c r="K467" s="20"/>
      <c r="L467" s="19"/>
      <c r="M467" t="str">
        <f t="shared" si="31"/>
        <v/>
      </c>
      <c r="N467" t="str">
        <f t="shared" si="32"/>
        <v/>
      </c>
    </row>
    <row r="468" spans="1:14" x14ac:dyDescent="0.25">
      <c r="A468" s="4" t="s">
        <v>472</v>
      </c>
      <c r="B468" s="1"/>
      <c r="C468" s="5" t="s">
        <v>5</v>
      </c>
      <c r="D468" s="13" t="s">
        <v>430</v>
      </c>
      <c r="E468" s="30"/>
      <c r="F468" s="43"/>
      <c r="G468" s="20">
        <f t="shared" si="33"/>
        <v>1</v>
      </c>
      <c r="H468" s="18"/>
      <c r="I468" s="19">
        <f t="shared" si="34"/>
        <v>1</v>
      </c>
      <c r="J468" s="19"/>
      <c r="K468" s="20"/>
      <c r="L468" s="19"/>
      <c r="M468" t="str">
        <f t="shared" si="31"/>
        <v/>
      </c>
      <c r="N468" t="str">
        <f t="shared" si="32"/>
        <v/>
      </c>
    </row>
    <row r="469" spans="1:14" x14ac:dyDescent="0.25">
      <c r="A469" s="4" t="s">
        <v>161</v>
      </c>
      <c r="B469" s="1"/>
      <c r="C469" s="5" t="s">
        <v>5</v>
      </c>
      <c r="D469" s="13"/>
      <c r="E469" s="30"/>
      <c r="F469" s="43"/>
      <c r="G469" s="20">
        <f t="shared" si="33"/>
        <v>1</v>
      </c>
      <c r="H469" s="18"/>
      <c r="I469" s="19">
        <f t="shared" si="34"/>
        <v>1</v>
      </c>
      <c r="J469" s="19"/>
      <c r="K469" s="20"/>
      <c r="L469" s="19"/>
      <c r="M469" t="str">
        <f t="shared" si="31"/>
        <v/>
      </c>
      <c r="N469" t="str">
        <f t="shared" si="32"/>
        <v/>
      </c>
    </row>
    <row r="470" spans="1:14" x14ac:dyDescent="0.25">
      <c r="A470" s="2" t="s">
        <v>486</v>
      </c>
      <c r="B470" s="21"/>
      <c r="C470" s="3"/>
      <c r="D470" s="14" t="s">
        <v>778</v>
      </c>
      <c r="E470" s="31"/>
      <c r="F470" s="45" t="s">
        <v>777</v>
      </c>
      <c r="G470" s="20">
        <f t="shared" si="33"/>
        <v>1</v>
      </c>
      <c r="H470" s="18"/>
      <c r="I470" s="19">
        <f t="shared" si="34"/>
        <v>0</v>
      </c>
      <c r="J470" s="19"/>
      <c r="K470" s="20"/>
      <c r="L470" s="19"/>
      <c r="M470" t="str">
        <f t="shared" si="31"/>
        <v/>
      </c>
      <c r="N470" t="str">
        <f t="shared" si="32"/>
        <v/>
      </c>
    </row>
    <row r="471" spans="1:14" x14ac:dyDescent="0.25">
      <c r="A471" s="4" t="s">
        <v>18</v>
      </c>
      <c r="B471" s="1"/>
      <c r="C471" s="5" t="s">
        <v>5</v>
      </c>
      <c r="D471" s="13" t="s">
        <v>512</v>
      </c>
      <c r="E471" s="30">
        <v>28</v>
      </c>
      <c r="F471" s="43"/>
      <c r="G471" s="20">
        <f t="shared" si="33"/>
        <v>1</v>
      </c>
      <c r="H471" s="18"/>
      <c r="I471" s="19">
        <f t="shared" si="34"/>
        <v>1</v>
      </c>
      <c r="J471" s="19"/>
      <c r="K471" s="20"/>
      <c r="L471" s="19"/>
      <c r="M471" t="str">
        <f t="shared" si="31"/>
        <v/>
      </c>
      <c r="N471" t="str">
        <f t="shared" si="32"/>
        <v/>
      </c>
    </row>
    <row r="472" spans="1:14" x14ac:dyDescent="0.25">
      <c r="A472" s="2" t="s">
        <v>443</v>
      </c>
      <c r="B472" s="21"/>
      <c r="C472" s="3"/>
      <c r="D472" s="14"/>
      <c r="E472" s="31"/>
      <c r="F472" s="45" t="s">
        <v>779</v>
      </c>
      <c r="G472" s="20">
        <f t="shared" si="33"/>
        <v>1</v>
      </c>
      <c r="H472" s="18"/>
      <c r="I472" s="19">
        <f t="shared" si="34"/>
        <v>0</v>
      </c>
      <c r="J472" s="19"/>
      <c r="K472" s="20"/>
      <c r="L472" s="19"/>
      <c r="M472" t="str">
        <f t="shared" si="31"/>
        <v/>
      </c>
      <c r="N472" t="str">
        <f t="shared" si="32"/>
        <v/>
      </c>
    </row>
    <row r="473" spans="1:14" x14ac:dyDescent="0.25">
      <c r="A473" s="4" t="s">
        <v>440</v>
      </c>
      <c r="B473" s="1"/>
      <c r="C473" s="5" t="s">
        <v>5</v>
      </c>
      <c r="D473" s="13" t="s">
        <v>430</v>
      </c>
      <c r="E473" s="30"/>
      <c r="F473" s="43"/>
      <c r="G473" s="20">
        <f t="shared" si="33"/>
        <v>1</v>
      </c>
      <c r="H473" s="18"/>
      <c r="I473" s="19">
        <f t="shared" si="34"/>
        <v>1</v>
      </c>
      <c r="J473" s="19"/>
      <c r="K473" s="20"/>
      <c r="L473" s="19"/>
      <c r="M473" t="str">
        <f t="shared" si="31"/>
        <v/>
      </c>
      <c r="N473" t="str">
        <f t="shared" si="32"/>
        <v/>
      </c>
    </row>
    <row r="474" spans="1:14" x14ac:dyDescent="0.25">
      <c r="A474" s="2" t="s">
        <v>319</v>
      </c>
      <c r="B474" s="21"/>
      <c r="C474" s="3"/>
      <c r="D474" s="14"/>
      <c r="E474" s="31"/>
      <c r="F474" s="45" t="s">
        <v>780</v>
      </c>
      <c r="G474" s="20">
        <f t="shared" si="33"/>
        <v>1</v>
      </c>
      <c r="H474" s="18"/>
      <c r="I474" s="19">
        <f t="shared" si="34"/>
        <v>0</v>
      </c>
      <c r="J474" s="19"/>
      <c r="K474" s="20"/>
      <c r="L474" s="19"/>
      <c r="M474" t="str">
        <f t="shared" ref="M474:M512" si="35">IF(B474=1,E474,"")</f>
        <v/>
      </c>
      <c r="N474" t="str">
        <f t="shared" ref="N474:N512" si="36">IF(B474=2,E474,"")</f>
        <v/>
      </c>
    </row>
    <row r="475" spans="1:14" x14ac:dyDescent="0.25">
      <c r="A475" s="2" t="s">
        <v>781</v>
      </c>
      <c r="B475" s="21"/>
      <c r="C475" s="3"/>
      <c r="D475" s="14"/>
      <c r="E475" s="31"/>
      <c r="F475" s="45" t="s">
        <v>782</v>
      </c>
      <c r="G475" s="20">
        <f t="shared" si="33"/>
        <v>1</v>
      </c>
      <c r="H475" s="18"/>
      <c r="I475" s="19">
        <f t="shared" si="34"/>
        <v>0</v>
      </c>
      <c r="J475" s="19"/>
      <c r="K475" s="20"/>
      <c r="L475" s="19"/>
      <c r="M475" t="str">
        <f t="shared" si="35"/>
        <v/>
      </c>
      <c r="N475" t="str">
        <f t="shared" si="36"/>
        <v/>
      </c>
    </row>
    <row r="476" spans="1:14" x14ac:dyDescent="0.25">
      <c r="A476" s="4" t="s">
        <v>261</v>
      </c>
      <c r="B476" s="1"/>
      <c r="C476" s="5" t="s">
        <v>5</v>
      </c>
      <c r="D476" s="13"/>
      <c r="E476" s="30"/>
      <c r="F476" s="43"/>
      <c r="G476" s="20">
        <f t="shared" si="33"/>
        <v>1</v>
      </c>
      <c r="H476" s="18"/>
      <c r="I476" s="19">
        <f t="shared" si="34"/>
        <v>1</v>
      </c>
      <c r="J476" s="19"/>
      <c r="K476" s="20"/>
      <c r="L476" s="19"/>
      <c r="M476" t="str">
        <f t="shared" si="35"/>
        <v/>
      </c>
      <c r="N476" t="str">
        <f t="shared" si="36"/>
        <v/>
      </c>
    </row>
    <row r="477" spans="1:14" x14ac:dyDescent="0.25">
      <c r="A477" s="4" t="s">
        <v>214</v>
      </c>
      <c r="B477" s="1"/>
      <c r="C477" s="5" t="s">
        <v>5</v>
      </c>
      <c r="D477" s="13"/>
      <c r="E477" s="30"/>
      <c r="F477" s="43"/>
      <c r="G477" s="20">
        <f t="shared" si="33"/>
        <v>1</v>
      </c>
      <c r="H477" s="18"/>
      <c r="I477" s="19">
        <f t="shared" si="34"/>
        <v>1</v>
      </c>
      <c r="J477" s="19"/>
      <c r="K477" s="20"/>
      <c r="L477" s="19"/>
      <c r="M477" t="str">
        <f t="shared" si="35"/>
        <v/>
      </c>
      <c r="N477" t="str">
        <f t="shared" si="36"/>
        <v/>
      </c>
    </row>
    <row r="478" spans="1:14" x14ac:dyDescent="0.25">
      <c r="A478" s="4" t="s">
        <v>507</v>
      </c>
      <c r="B478" s="1"/>
      <c r="C478" s="5" t="s">
        <v>5</v>
      </c>
      <c r="D478" s="13" t="s">
        <v>494</v>
      </c>
      <c r="E478" s="30">
        <v>13.43</v>
      </c>
      <c r="F478" s="43"/>
      <c r="G478" s="20">
        <f t="shared" si="33"/>
        <v>1</v>
      </c>
      <c r="H478" s="18"/>
      <c r="I478" s="19">
        <f t="shared" si="34"/>
        <v>1</v>
      </c>
      <c r="J478" s="19"/>
      <c r="K478" s="20"/>
      <c r="L478" s="19"/>
      <c r="M478" t="str">
        <f t="shared" si="35"/>
        <v/>
      </c>
      <c r="N478" t="str">
        <f t="shared" si="36"/>
        <v/>
      </c>
    </row>
    <row r="479" spans="1:14" x14ac:dyDescent="0.25">
      <c r="A479" s="4" t="s">
        <v>253</v>
      </c>
      <c r="B479" s="1"/>
      <c r="C479" s="5" t="s">
        <v>5</v>
      </c>
      <c r="D479" s="13"/>
      <c r="E479" s="30"/>
      <c r="F479" s="43"/>
      <c r="G479" s="20">
        <f t="shared" si="33"/>
        <v>1</v>
      </c>
      <c r="H479" s="18"/>
      <c r="I479" s="19">
        <f t="shared" si="34"/>
        <v>1</v>
      </c>
      <c r="J479" s="19"/>
      <c r="K479" s="20"/>
      <c r="L479" s="19"/>
      <c r="M479" t="str">
        <f t="shared" si="35"/>
        <v/>
      </c>
      <c r="N479" t="str">
        <f t="shared" si="36"/>
        <v/>
      </c>
    </row>
    <row r="480" spans="1:14" x14ac:dyDescent="0.25">
      <c r="A480" s="2" t="s">
        <v>232</v>
      </c>
      <c r="B480" s="21"/>
      <c r="C480" s="3"/>
      <c r="D480" s="14"/>
      <c r="E480" s="31"/>
      <c r="F480" s="45" t="s">
        <v>783</v>
      </c>
      <c r="G480" s="20">
        <f t="shared" si="33"/>
        <v>1</v>
      </c>
      <c r="H480" s="18"/>
      <c r="I480" s="19">
        <f t="shared" si="34"/>
        <v>0</v>
      </c>
      <c r="J480" s="19"/>
      <c r="K480" s="20"/>
      <c r="L480" s="19"/>
      <c r="M480" t="str">
        <f t="shared" si="35"/>
        <v/>
      </c>
      <c r="N480" t="str">
        <f t="shared" si="36"/>
        <v/>
      </c>
    </row>
    <row r="481" spans="1:14" x14ac:dyDescent="0.25">
      <c r="A481" s="4" t="s">
        <v>479</v>
      </c>
      <c r="B481" s="1"/>
      <c r="C481" s="5" t="s">
        <v>5</v>
      </c>
      <c r="D481" s="13" t="s">
        <v>430</v>
      </c>
      <c r="E481" s="30">
        <v>29</v>
      </c>
      <c r="F481" s="43"/>
      <c r="G481" s="20">
        <f t="shared" si="33"/>
        <v>1</v>
      </c>
      <c r="H481" s="18"/>
      <c r="I481" s="19">
        <f t="shared" si="34"/>
        <v>1</v>
      </c>
      <c r="J481" s="19"/>
      <c r="K481" s="20"/>
      <c r="L481" s="19"/>
    </row>
    <row r="482" spans="1:14" x14ac:dyDescent="0.25">
      <c r="A482" s="4" t="s">
        <v>254</v>
      </c>
      <c r="B482" s="1"/>
      <c r="C482" s="5" t="s">
        <v>5</v>
      </c>
      <c r="D482" s="13" t="s">
        <v>784</v>
      </c>
      <c r="E482" s="30"/>
      <c r="F482" s="43"/>
      <c r="G482" s="20">
        <f t="shared" si="33"/>
        <v>1</v>
      </c>
      <c r="H482" s="18"/>
      <c r="I482" s="19">
        <f t="shared" si="34"/>
        <v>1</v>
      </c>
      <c r="J482" s="19"/>
      <c r="K482" s="20"/>
      <c r="L482" s="19"/>
      <c r="M482" t="str">
        <f t="shared" si="35"/>
        <v/>
      </c>
      <c r="N482" t="str">
        <f t="shared" si="36"/>
        <v/>
      </c>
    </row>
    <row r="483" spans="1:14" x14ac:dyDescent="0.25">
      <c r="A483" s="4" t="s">
        <v>529</v>
      </c>
      <c r="B483" s="1"/>
      <c r="C483" s="5" t="s">
        <v>5</v>
      </c>
      <c r="D483" s="13" t="s">
        <v>524</v>
      </c>
      <c r="E483" s="30">
        <v>15</v>
      </c>
      <c r="F483" s="43">
        <v>40</v>
      </c>
      <c r="G483" s="20">
        <f t="shared" si="33"/>
        <v>1</v>
      </c>
      <c r="H483" s="18"/>
      <c r="I483" s="19">
        <f t="shared" si="34"/>
        <v>1</v>
      </c>
      <c r="J483" s="19"/>
      <c r="K483" s="20"/>
      <c r="L483" s="19"/>
      <c r="M483" t="str">
        <f t="shared" si="35"/>
        <v/>
      </c>
      <c r="N483" t="str">
        <f t="shared" si="36"/>
        <v/>
      </c>
    </row>
    <row r="484" spans="1:14" x14ac:dyDescent="0.25">
      <c r="A484" s="2" t="s">
        <v>326</v>
      </c>
      <c r="B484" s="21"/>
      <c r="C484" s="3"/>
      <c r="D484" s="14" t="s">
        <v>786</v>
      </c>
      <c r="E484" s="31"/>
      <c r="F484" s="45" t="s">
        <v>785</v>
      </c>
      <c r="G484" s="20">
        <f t="shared" si="33"/>
        <v>1</v>
      </c>
      <c r="H484" s="18"/>
      <c r="I484" s="19">
        <f t="shared" si="34"/>
        <v>0</v>
      </c>
      <c r="J484" s="19"/>
      <c r="K484" s="20"/>
      <c r="L484" s="19"/>
      <c r="M484" t="str">
        <f t="shared" si="35"/>
        <v/>
      </c>
      <c r="N484" t="str">
        <f t="shared" si="36"/>
        <v/>
      </c>
    </row>
    <row r="485" spans="1:14" x14ac:dyDescent="0.25">
      <c r="A485" s="2" t="s">
        <v>162</v>
      </c>
      <c r="B485" s="21"/>
      <c r="C485" s="3"/>
      <c r="D485" s="14"/>
      <c r="E485" s="31"/>
      <c r="F485" s="45" t="s">
        <v>787</v>
      </c>
      <c r="G485" s="20">
        <f t="shared" si="33"/>
        <v>1</v>
      </c>
      <c r="H485" s="18"/>
      <c r="I485" s="19">
        <f t="shared" si="34"/>
        <v>0</v>
      </c>
      <c r="J485" s="19"/>
      <c r="K485" s="20"/>
      <c r="L485" s="19"/>
      <c r="M485" t="str">
        <f t="shared" si="35"/>
        <v/>
      </c>
      <c r="N485" t="str">
        <f t="shared" si="36"/>
        <v/>
      </c>
    </row>
    <row r="486" spans="1:14" x14ac:dyDescent="0.25">
      <c r="A486" s="4" t="s">
        <v>163</v>
      </c>
      <c r="B486" s="1"/>
      <c r="C486" s="5" t="s">
        <v>5</v>
      </c>
      <c r="D486" s="13"/>
      <c r="E486" s="30"/>
      <c r="F486" s="43"/>
      <c r="G486" s="20">
        <f t="shared" si="33"/>
        <v>1</v>
      </c>
      <c r="H486" s="18"/>
      <c r="I486" s="19">
        <f t="shared" si="34"/>
        <v>1</v>
      </c>
      <c r="J486" s="19"/>
      <c r="K486" s="20"/>
      <c r="L486" s="19"/>
    </row>
    <row r="487" spans="1:14" x14ac:dyDescent="0.25">
      <c r="A487" s="4" t="s">
        <v>231</v>
      </c>
      <c r="B487" s="1"/>
      <c r="C487" s="5" t="s">
        <v>5</v>
      </c>
      <c r="D487" s="13"/>
      <c r="E487" s="30"/>
      <c r="F487" s="43"/>
      <c r="G487" s="20">
        <f t="shared" si="33"/>
        <v>1</v>
      </c>
      <c r="H487" s="18"/>
      <c r="I487" s="19">
        <f t="shared" si="34"/>
        <v>1</v>
      </c>
      <c r="J487" s="19"/>
      <c r="K487" s="20"/>
      <c r="L487" s="19"/>
      <c r="M487" t="str">
        <f t="shared" si="35"/>
        <v/>
      </c>
      <c r="N487" t="str">
        <f t="shared" si="36"/>
        <v/>
      </c>
    </row>
    <row r="488" spans="1:14" x14ac:dyDescent="0.25">
      <c r="A488" s="4" t="s">
        <v>164</v>
      </c>
      <c r="B488" s="1"/>
      <c r="C488" s="5" t="s">
        <v>5</v>
      </c>
      <c r="D488" s="13"/>
      <c r="E488" s="30"/>
      <c r="F488" s="46"/>
      <c r="G488" s="20">
        <f t="shared" si="33"/>
        <v>1</v>
      </c>
      <c r="H488" s="18"/>
      <c r="I488" s="19">
        <f t="shared" si="34"/>
        <v>1</v>
      </c>
      <c r="J488" s="19"/>
      <c r="K488" s="20"/>
      <c r="L488" s="19"/>
      <c r="M488" t="str">
        <f t="shared" si="35"/>
        <v/>
      </c>
      <c r="N488" t="str">
        <f t="shared" si="36"/>
        <v/>
      </c>
    </row>
    <row r="489" spans="1:14" x14ac:dyDescent="0.25">
      <c r="A489" s="4" t="s">
        <v>165</v>
      </c>
      <c r="B489" s="1"/>
      <c r="C489" s="5" t="s">
        <v>5</v>
      </c>
      <c r="D489" s="13" t="s">
        <v>422</v>
      </c>
      <c r="E489" s="30"/>
      <c r="F489" s="43"/>
      <c r="G489" s="20">
        <f t="shared" si="33"/>
        <v>1</v>
      </c>
      <c r="H489" s="18"/>
      <c r="I489" s="19">
        <f t="shared" si="34"/>
        <v>1</v>
      </c>
      <c r="J489" s="19"/>
      <c r="K489" s="20"/>
      <c r="L489" s="19"/>
      <c r="M489" t="str">
        <f t="shared" si="35"/>
        <v/>
      </c>
      <c r="N489" t="str">
        <f t="shared" si="36"/>
        <v/>
      </c>
    </row>
    <row r="490" spans="1:14" x14ac:dyDescent="0.25">
      <c r="A490" s="4" t="s">
        <v>166</v>
      </c>
      <c r="B490" s="1"/>
      <c r="C490" s="5" t="s">
        <v>5</v>
      </c>
      <c r="D490" s="13" t="s">
        <v>422</v>
      </c>
      <c r="E490" s="30"/>
      <c r="F490" s="43"/>
      <c r="G490" s="20">
        <f t="shared" si="33"/>
        <v>1</v>
      </c>
      <c r="H490" s="18"/>
      <c r="I490" s="19">
        <f t="shared" si="34"/>
        <v>1</v>
      </c>
      <c r="J490" s="19"/>
      <c r="K490" s="20"/>
      <c r="L490" s="19"/>
      <c r="M490" t="str">
        <f t="shared" si="35"/>
        <v/>
      </c>
      <c r="N490" t="str">
        <f t="shared" si="36"/>
        <v/>
      </c>
    </row>
    <row r="491" spans="1:14" x14ac:dyDescent="0.25">
      <c r="A491" s="2" t="s">
        <v>351</v>
      </c>
      <c r="B491" s="21"/>
      <c r="C491" s="3"/>
      <c r="D491" s="14"/>
      <c r="E491" s="31"/>
      <c r="F491" s="45" t="s">
        <v>788</v>
      </c>
      <c r="G491" s="20">
        <f t="shared" si="33"/>
        <v>1</v>
      </c>
      <c r="H491" s="18"/>
      <c r="I491" s="19">
        <f t="shared" si="34"/>
        <v>0</v>
      </c>
      <c r="J491" s="19"/>
      <c r="K491" s="20"/>
      <c r="L491" s="19"/>
      <c r="M491" t="str">
        <f t="shared" si="35"/>
        <v/>
      </c>
      <c r="N491" t="str">
        <f t="shared" si="36"/>
        <v/>
      </c>
    </row>
    <row r="492" spans="1:14" x14ac:dyDescent="0.25">
      <c r="A492" s="4" t="s">
        <v>311</v>
      </c>
      <c r="B492" s="1"/>
      <c r="C492" s="5" t="s">
        <v>5</v>
      </c>
      <c r="D492" s="13"/>
      <c r="E492" s="30"/>
      <c r="F492" s="43"/>
      <c r="G492" s="20">
        <f t="shared" si="33"/>
        <v>1</v>
      </c>
      <c r="H492" s="18"/>
      <c r="I492" s="19">
        <f t="shared" si="34"/>
        <v>1</v>
      </c>
      <c r="J492" s="19"/>
      <c r="K492" s="20"/>
      <c r="L492" s="19"/>
      <c r="M492" t="str">
        <f t="shared" si="35"/>
        <v/>
      </c>
      <c r="N492" t="str">
        <f t="shared" si="36"/>
        <v/>
      </c>
    </row>
    <row r="493" spans="1:14" x14ac:dyDescent="0.25">
      <c r="A493" s="4" t="s">
        <v>371</v>
      </c>
      <c r="B493" s="1"/>
      <c r="C493" s="5" t="s">
        <v>5</v>
      </c>
      <c r="D493" s="13"/>
      <c r="E493" s="30"/>
      <c r="F493" s="43"/>
      <c r="G493" s="20">
        <f t="shared" si="33"/>
        <v>1</v>
      </c>
      <c r="H493" s="18"/>
      <c r="I493" s="19">
        <f t="shared" si="34"/>
        <v>1</v>
      </c>
      <c r="J493" s="19"/>
      <c r="K493" s="20"/>
      <c r="L493" s="19"/>
      <c r="M493" t="str">
        <f t="shared" si="35"/>
        <v/>
      </c>
      <c r="N493" t="str">
        <f t="shared" si="36"/>
        <v/>
      </c>
    </row>
    <row r="494" spans="1:14" x14ac:dyDescent="0.25">
      <c r="A494" s="4" t="s">
        <v>7</v>
      </c>
      <c r="B494" s="1"/>
      <c r="C494" s="5" t="s">
        <v>5</v>
      </c>
      <c r="D494" s="13"/>
      <c r="E494" s="30"/>
      <c r="F494" s="43"/>
      <c r="G494" s="20">
        <f t="shared" si="33"/>
        <v>1</v>
      </c>
      <c r="H494" s="18"/>
      <c r="I494" s="19">
        <f t="shared" si="34"/>
        <v>1</v>
      </c>
      <c r="J494" s="19"/>
      <c r="K494" s="20"/>
      <c r="L494" s="19"/>
      <c r="M494" t="str">
        <f t="shared" si="35"/>
        <v/>
      </c>
      <c r="N494" t="str">
        <f t="shared" si="36"/>
        <v/>
      </c>
    </row>
    <row r="495" spans="1:14" x14ac:dyDescent="0.25">
      <c r="A495" s="4" t="s">
        <v>255</v>
      </c>
      <c r="B495" s="1"/>
      <c r="C495" s="5" t="s">
        <v>5</v>
      </c>
      <c r="D495" s="13"/>
      <c r="E495" s="30"/>
      <c r="F495" s="43"/>
      <c r="G495" s="20">
        <f t="shared" si="33"/>
        <v>1</v>
      </c>
      <c r="H495" s="18"/>
      <c r="I495" s="19">
        <f t="shared" si="34"/>
        <v>1</v>
      </c>
      <c r="J495" s="19"/>
      <c r="K495" s="20"/>
      <c r="L495" s="19"/>
      <c r="M495" t="str">
        <f t="shared" si="35"/>
        <v/>
      </c>
      <c r="N495" t="str">
        <f t="shared" si="36"/>
        <v/>
      </c>
    </row>
    <row r="496" spans="1:14" x14ac:dyDescent="0.25">
      <c r="A496" s="4" t="s">
        <v>167</v>
      </c>
      <c r="B496" s="1"/>
      <c r="C496" s="5" t="s">
        <v>5</v>
      </c>
      <c r="D496" s="13" t="s">
        <v>401</v>
      </c>
      <c r="E496" s="30"/>
      <c r="F496" s="43"/>
      <c r="G496" s="20">
        <f t="shared" si="33"/>
        <v>1</v>
      </c>
      <c r="H496" s="18"/>
      <c r="I496" s="19">
        <f t="shared" si="34"/>
        <v>1</v>
      </c>
      <c r="J496" s="19"/>
      <c r="K496" s="20"/>
      <c r="L496" s="19"/>
      <c r="M496" t="str">
        <f t="shared" si="35"/>
        <v/>
      </c>
      <c r="N496" t="str">
        <f t="shared" si="36"/>
        <v/>
      </c>
    </row>
    <row r="497" spans="1:14" x14ac:dyDescent="0.25">
      <c r="A497" s="4" t="s">
        <v>331</v>
      </c>
      <c r="B497" s="1"/>
      <c r="C497" s="5" t="s">
        <v>5</v>
      </c>
      <c r="D497" s="13" t="s">
        <v>430</v>
      </c>
      <c r="E497" s="30">
        <v>10</v>
      </c>
      <c r="F497" s="43"/>
      <c r="G497" s="20">
        <f t="shared" si="33"/>
        <v>1</v>
      </c>
      <c r="H497" s="18"/>
      <c r="I497" s="19">
        <f t="shared" si="34"/>
        <v>1</v>
      </c>
      <c r="J497" s="19"/>
      <c r="K497" s="20"/>
      <c r="L497" s="19"/>
      <c r="M497" t="str">
        <f t="shared" si="35"/>
        <v/>
      </c>
      <c r="N497" t="str">
        <f t="shared" si="36"/>
        <v/>
      </c>
    </row>
    <row r="498" spans="1:14" x14ac:dyDescent="0.25">
      <c r="A498" s="4" t="s">
        <v>301</v>
      </c>
      <c r="B498" s="1"/>
      <c r="C498" s="5" t="s">
        <v>5</v>
      </c>
      <c r="D498" s="13"/>
      <c r="E498" s="30"/>
      <c r="F498" s="43"/>
      <c r="G498" s="20">
        <f t="shared" si="33"/>
        <v>1</v>
      </c>
      <c r="H498" s="18"/>
      <c r="I498" s="19">
        <f t="shared" si="34"/>
        <v>1</v>
      </c>
      <c r="J498" s="19"/>
      <c r="K498" s="20"/>
      <c r="L498" s="19"/>
      <c r="M498" t="str">
        <f t="shared" si="35"/>
        <v/>
      </c>
      <c r="N498" t="str">
        <f t="shared" si="36"/>
        <v/>
      </c>
    </row>
    <row r="499" spans="1:14" x14ac:dyDescent="0.25">
      <c r="A499" s="2" t="s">
        <v>168</v>
      </c>
      <c r="B499" s="21"/>
      <c r="C499" s="3"/>
      <c r="D499" s="14"/>
      <c r="E499" s="31"/>
      <c r="F499" s="45" t="s">
        <v>789</v>
      </c>
      <c r="G499" s="20">
        <f t="shared" si="33"/>
        <v>1</v>
      </c>
      <c r="H499" s="18"/>
      <c r="I499" s="19">
        <f t="shared" si="34"/>
        <v>0</v>
      </c>
      <c r="J499" s="19"/>
      <c r="K499" s="20"/>
      <c r="L499" s="19"/>
      <c r="M499" t="str">
        <f t="shared" si="35"/>
        <v/>
      </c>
      <c r="N499" t="str">
        <f t="shared" si="36"/>
        <v/>
      </c>
    </row>
    <row r="500" spans="1:14" x14ac:dyDescent="0.25">
      <c r="A500" s="4" t="s">
        <v>169</v>
      </c>
      <c r="B500" s="1"/>
      <c r="C500" s="5" t="s">
        <v>5</v>
      </c>
      <c r="D500" s="13" t="s">
        <v>460</v>
      </c>
      <c r="E500" s="30">
        <v>19</v>
      </c>
      <c r="F500" s="43"/>
      <c r="G500" s="20">
        <f t="shared" si="33"/>
        <v>1</v>
      </c>
      <c r="H500" s="18"/>
      <c r="I500" s="19">
        <f t="shared" si="34"/>
        <v>1</v>
      </c>
      <c r="J500" s="19"/>
      <c r="K500" s="20"/>
      <c r="L500" s="19"/>
      <c r="M500" t="str">
        <f t="shared" si="35"/>
        <v/>
      </c>
      <c r="N500" t="str">
        <f t="shared" si="36"/>
        <v/>
      </c>
    </row>
    <row r="501" spans="1:14" x14ac:dyDescent="0.25">
      <c r="A501" s="4" t="s">
        <v>170</v>
      </c>
      <c r="B501" s="1"/>
      <c r="C501" s="5" t="s">
        <v>5</v>
      </c>
      <c r="D501" s="13"/>
      <c r="E501" s="30"/>
      <c r="F501" s="43"/>
      <c r="G501" s="20">
        <f t="shared" si="33"/>
        <v>1</v>
      </c>
      <c r="H501" s="18"/>
      <c r="I501" s="19">
        <f t="shared" si="34"/>
        <v>1</v>
      </c>
      <c r="J501" s="19"/>
      <c r="K501" s="20"/>
      <c r="L501" s="19"/>
      <c r="M501" t="str">
        <f t="shared" si="35"/>
        <v/>
      </c>
      <c r="N501" t="str">
        <f t="shared" si="36"/>
        <v/>
      </c>
    </row>
    <row r="502" spans="1:14" x14ac:dyDescent="0.25">
      <c r="A502" s="2" t="s">
        <v>24</v>
      </c>
      <c r="B502" s="21"/>
      <c r="C502" s="3"/>
      <c r="D502" s="14"/>
      <c r="E502" s="31"/>
      <c r="F502" s="45" t="s">
        <v>790</v>
      </c>
      <c r="G502" s="20">
        <f t="shared" si="33"/>
        <v>1</v>
      </c>
      <c r="H502" s="18"/>
      <c r="I502" s="19">
        <f t="shared" si="34"/>
        <v>0</v>
      </c>
      <c r="J502" s="19"/>
      <c r="K502" s="20"/>
      <c r="L502" s="19"/>
      <c r="M502" t="str">
        <f t="shared" si="35"/>
        <v/>
      </c>
      <c r="N502" t="str">
        <f t="shared" si="36"/>
        <v/>
      </c>
    </row>
    <row r="503" spans="1:14" x14ac:dyDescent="0.25">
      <c r="A503" s="4" t="s">
        <v>256</v>
      </c>
      <c r="B503" s="1"/>
      <c r="C503" s="5" t="s">
        <v>5</v>
      </c>
      <c r="D503" s="13"/>
      <c r="E503" s="30"/>
      <c r="F503" s="43"/>
      <c r="G503" s="20">
        <f t="shared" si="33"/>
        <v>1</v>
      </c>
      <c r="H503" s="18"/>
      <c r="I503" s="19">
        <f t="shared" si="34"/>
        <v>1</v>
      </c>
      <c r="J503" s="19"/>
      <c r="K503" s="20"/>
      <c r="L503" s="19"/>
      <c r="M503" t="str">
        <f t="shared" si="35"/>
        <v/>
      </c>
      <c r="N503" t="str">
        <f t="shared" si="36"/>
        <v/>
      </c>
    </row>
    <row r="504" spans="1:14" x14ac:dyDescent="0.25">
      <c r="A504" s="4" t="s">
        <v>171</v>
      </c>
      <c r="B504" s="1"/>
      <c r="C504" s="5" t="s">
        <v>5</v>
      </c>
      <c r="D504" s="13"/>
      <c r="E504" s="30"/>
      <c r="F504" s="43"/>
      <c r="G504" s="20">
        <f t="shared" si="33"/>
        <v>1</v>
      </c>
      <c r="H504" s="18"/>
      <c r="I504" s="19">
        <f t="shared" si="34"/>
        <v>1</v>
      </c>
      <c r="J504" s="19"/>
      <c r="K504" s="20"/>
      <c r="L504" s="19"/>
      <c r="M504" t="str">
        <f t="shared" si="35"/>
        <v/>
      </c>
      <c r="N504" t="str">
        <f t="shared" si="36"/>
        <v/>
      </c>
    </row>
    <row r="505" spans="1:14" x14ac:dyDescent="0.25">
      <c r="A505" s="4" t="s">
        <v>172</v>
      </c>
      <c r="B505" s="1"/>
      <c r="C505" s="5" t="s">
        <v>5</v>
      </c>
      <c r="D505" s="13" t="s">
        <v>422</v>
      </c>
      <c r="E505" s="30"/>
      <c r="F505" s="43"/>
      <c r="G505" s="20">
        <f t="shared" si="33"/>
        <v>1</v>
      </c>
      <c r="H505" s="18"/>
      <c r="I505" s="19">
        <f t="shared" si="34"/>
        <v>1</v>
      </c>
      <c r="J505" s="19"/>
      <c r="K505" s="20"/>
      <c r="L505" s="19"/>
      <c r="M505" t="str">
        <f t="shared" si="35"/>
        <v/>
      </c>
      <c r="N505" t="str">
        <f t="shared" si="36"/>
        <v/>
      </c>
    </row>
    <row r="506" spans="1:14" x14ac:dyDescent="0.25">
      <c r="A506" s="2" t="s">
        <v>483</v>
      </c>
      <c r="B506" s="21"/>
      <c r="C506" s="3"/>
      <c r="D506" s="14"/>
      <c r="E506" s="31"/>
      <c r="F506" s="45" t="s">
        <v>791</v>
      </c>
      <c r="G506" s="20">
        <f t="shared" si="33"/>
        <v>1</v>
      </c>
      <c r="H506" s="18"/>
      <c r="I506" s="19">
        <f t="shared" si="34"/>
        <v>0</v>
      </c>
      <c r="J506" s="19"/>
      <c r="K506" s="20"/>
      <c r="L506" s="19"/>
      <c r="M506" t="str">
        <f t="shared" si="35"/>
        <v/>
      </c>
      <c r="N506" t="str">
        <f t="shared" si="36"/>
        <v/>
      </c>
    </row>
    <row r="507" spans="1:14" x14ac:dyDescent="0.25">
      <c r="A507" s="2" t="s">
        <v>274</v>
      </c>
      <c r="B507" s="21"/>
      <c r="C507" s="3"/>
      <c r="D507" s="14"/>
      <c r="E507" s="31"/>
      <c r="F507" s="45" t="s">
        <v>792</v>
      </c>
      <c r="G507" s="20">
        <f t="shared" si="33"/>
        <v>1</v>
      </c>
      <c r="H507" s="18"/>
      <c r="I507" s="19">
        <f t="shared" si="34"/>
        <v>0</v>
      </c>
      <c r="J507" s="19"/>
      <c r="K507" s="20"/>
      <c r="L507" s="19"/>
      <c r="M507" t="str">
        <f t="shared" si="35"/>
        <v/>
      </c>
      <c r="N507" t="str">
        <f t="shared" si="36"/>
        <v/>
      </c>
    </row>
    <row r="508" spans="1:14" x14ac:dyDescent="0.25">
      <c r="A508" s="2" t="s">
        <v>173</v>
      </c>
      <c r="B508" s="21"/>
      <c r="C508" s="3"/>
      <c r="D508" s="14" t="s">
        <v>794</v>
      </c>
      <c r="E508" s="31"/>
      <c r="F508" s="45" t="s">
        <v>793</v>
      </c>
      <c r="G508" s="20">
        <f t="shared" si="33"/>
        <v>1</v>
      </c>
      <c r="H508" s="18"/>
      <c r="I508" s="19">
        <f t="shared" si="34"/>
        <v>0</v>
      </c>
      <c r="J508" s="19"/>
      <c r="K508" s="20"/>
      <c r="L508" s="19"/>
      <c r="M508" t="str">
        <f t="shared" si="35"/>
        <v/>
      </c>
      <c r="N508" t="str">
        <f t="shared" si="36"/>
        <v/>
      </c>
    </row>
    <row r="509" spans="1:14" x14ac:dyDescent="0.25">
      <c r="A509" s="34"/>
      <c r="B509" s="25"/>
      <c r="C509" s="35"/>
      <c r="D509" s="36"/>
      <c r="E509" s="37"/>
      <c r="F509" s="44"/>
      <c r="G509" s="20">
        <f t="shared" si="33"/>
        <v>0</v>
      </c>
      <c r="H509" s="18"/>
      <c r="I509" s="19">
        <f t="shared" si="34"/>
        <v>0</v>
      </c>
      <c r="J509" s="19"/>
      <c r="K509" s="20"/>
      <c r="L509" s="19"/>
      <c r="M509" t="str">
        <f t="shared" si="35"/>
        <v/>
      </c>
      <c r="N509" t="str">
        <f t="shared" si="36"/>
        <v/>
      </c>
    </row>
    <row r="510" spans="1:14" x14ac:dyDescent="0.25">
      <c r="A510" s="34"/>
      <c r="B510" s="25"/>
      <c r="C510" s="35"/>
      <c r="D510" s="36"/>
      <c r="E510" s="37"/>
      <c r="F510" s="44"/>
      <c r="G510" s="20">
        <f t="shared" si="33"/>
        <v>0</v>
      </c>
      <c r="H510" s="18"/>
      <c r="I510" s="19">
        <f t="shared" si="34"/>
        <v>0</v>
      </c>
      <c r="J510" s="19"/>
      <c r="K510" s="20"/>
      <c r="L510" s="19"/>
      <c r="M510" t="str">
        <f t="shared" si="35"/>
        <v/>
      </c>
      <c r="N510" t="str">
        <f t="shared" si="36"/>
        <v/>
      </c>
    </row>
    <row r="511" spans="1:14" x14ac:dyDescent="0.25">
      <c r="A511" s="34"/>
      <c r="B511" s="25"/>
      <c r="C511" s="35"/>
      <c r="D511" s="36"/>
      <c r="E511" s="37"/>
      <c r="F511" s="44"/>
      <c r="G511" s="20">
        <f t="shared" si="33"/>
        <v>0</v>
      </c>
      <c r="H511" s="18"/>
      <c r="I511" s="19">
        <f t="shared" si="34"/>
        <v>0</v>
      </c>
      <c r="J511" s="19"/>
      <c r="K511" s="20"/>
      <c r="L511" s="19"/>
      <c r="M511" t="str">
        <f t="shared" si="35"/>
        <v/>
      </c>
      <c r="N511" t="str">
        <f t="shared" si="36"/>
        <v/>
      </c>
    </row>
    <row r="512" spans="1:14" x14ac:dyDescent="0.25">
      <c r="A512" s="34"/>
      <c r="B512" s="25"/>
      <c r="C512" s="35"/>
      <c r="D512" s="36"/>
      <c r="E512" s="37"/>
      <c r="F512" s="44"/>
      <c r="G512" s="20">
        <f t="shared" si="33"/>
        <v>0</v>
      </c>
      <c r="H512" s="18"/>
      <c r="I512" s="19">
        <f t="shared" si="34"/>
        <v>0</v>
      </c>
      <c r="J512" s="19"/>
      <c r="K512" s="20"/>
      <c r="L512" s="19"/>
      <c r="M512" t="str">
        <f t="shared" si="35"/>
        <v/>
      </c>
      <c r="N512" t="str">
        <f t="shared" si="36"/>
        <v/>
      </c>
    </row>
    <row r="513" spans="1:13" x14ac:dyDescent="0.25">
      <c r="A513" s="48"/>
      <c r="B513" s="50"/>
      <c r="C513" s="48"/>
      <c r="D513" s="52"/>
      <c r="E513" s="54"/>
      <c r="F513" s="57"/>
      <c r="G513" s="78"/>
      <c r="H513" s="24"/>
      <c r="I513" s="75"/>
      <c r="J513" s="24"/>
      <c r="K513" s="24"/>
      <c r="L513" s="24"/>
      <c r="M513" s="23"/>
    </row>
    <row r="514" spans="1:13" x14ac:dyDescent="0.25">
      <c r="A514" s="48"/>
      <c r="B514" s="49"/>
      <c r="C514" s="48"/>
      <c r="D514" s="52"/>
      <c r="E514" s="53"/>
      <c r="F514" s="56"/>
      <c r="I514" s="19"/>
    </row>
    <row r="515" spans="1:13" x14ac:dyDescent="0.25">
      <c r="A515" s="48"/>
      <c r="B515" s="49"/>
      <c r="C515" s="48"/>
      <c r="D515" s="52"/>
      <c r="E515" s="53"/>
      <c r="F515" s="56"/>
      <c r="I515" s="19"/>
    </row>
    <row r="516" spans="1:13" x14ac:dyDescent="0.25">
      <c r="A516" s="48"/>
      <c r="B516" s="49"/>
      <c r="C516" s="48"/>
      <c r="D516" s="52"/>
      <c r="E516" s="53"/>
      <c r="F516" s="56"/>
      <c r="I516" s="19"/>
    </row>
    <row r="517" spans="1:13" x14ac:dyDescent="0.25">
      <c r="A517" s="48"/>
      <c r="B517" s="49"/>
      <c r="C517" s="48"/>
      <c r="D517" s="52"/>
      <c r="E517" s="53"/>
      <c r="F517" s="56"/>
      <c r="I517" s="19"/>
    </row>
    <row r="518" spans="1:13" x14ac:dyDescent="0.25">
      <c r="A518" s="48"/>
      <c r="B518" s="49"/>
      <c r="C518" s="48"/>
      <c r="D518" s="52"/>
      <c r="E518" s="53"/>
      <c r="F518" s="56"/>
      <c r="I518" s="19"/>
    </row>
    <row r="519" spans="1:13" x14ac:dyDescent="0.25">
      <c r="A519" s="48"/>
      <c r="B519" s="49"/>
      <c r="C519" s="48"/>
      <c r="D519" s="52"/>
      <c r="E519" s="53"/>
      <c r="F519" s="56"/>
      <c r="I519" s="19"/>
    </row>
    <row r="520" spans="1:13" x14ac:dyDescent="0.25">
      <c r="A520" s="48"/>
      <c r="B520" s="49"/>
      <c r="C520" s="48"/>
      <c r="D520" s="52"/>
      <c r="E520" s="53"/>
      <c r="F520" s="56"/>
      <c r="I520" s="19"/>
    </row>
    <row r="521" spans="1:13" x14ac:dyDescent="0.25">
      <c r="A521" s="48"/>
      <c r="B521" s="49"/>
      <c r="C521" s="48"/>
      <c r="D521" s="52"/>
      <c r="E521" s="53"/>
      <c r="F521" s="56"/>
      <c r="I521" s="19"/>
    </row>
    <row r="522" spans="1:13" x14ac:dyDescent="0.25">
      <c r="A522" s="48"/>
      <c r="B522" s="49"/>
      <c r="C522" s="48"/>
      <c r="D522" s="52"/>
      <c r="E522" s="53"/>
      <c r="F522" s="56"/>
      <c r="I522" s="19"/>
    </row>
    <row r="523" spans="1:13" x14ac:dyDescent="0.25">
      <c r="A523" s="48"/>
      <c r="B523" s="49"/>
      <c r="C523" s="48"/>
      <c r="D523" s="52"/>
      <c r="E523" s="53"/>
      <c r="F523" s="56"/>
      <c r="I523" s="19"/>
    </row>
    <row r="524" spans="1:13" x14ac:dyDescent="0.25">
      <c r="A524" s="48"/>
      <c r="B524" s="49"/>
      <c r="C524" s="48"/>
      <c r="D524" s="52"/>
      <c r="E524" s="53"/>
      <c r="F524" s="56"/>
      <c r="I524" s="19"/>
    </row>
    <row r="525" spans="1:13" x14ac:dyDescent="0.25">
      <c r="A525" s="48"/>
      <c r="B525" s="49"/>
      <c r="C525" s="48"/>
      <c r="D525" s="52"/>
      <c r="E525" s="53"/>
      <c r="F525" s="56"/>
      <c r="I525" s="19"/>
    </row>
    <row r="526" spans="1:13" x14ac:dyDescent="0.25">
      <c r="A526" s="48"/>
      <c r="B526" s="49"/>
      <c r="C526" s="48"/>
      <c r="D526" s="52"/>
      <c r="E526" s="53"/>
      <c r="F526" s="56"/>
      <c r="I526" s="19"/>
    </row>
    <row r="527" spans="1:13" x14ac:dyDescent="0.25">
      <c r="A527" s="48"/>
      <c r="B527" s="49"/>
      <c r="C527" s="48"/>
      <c r="D527" s="52"/>
      <c r="E527" s="53"/>
      <c r="F527" s="56"/>
      <c r="I527" s="19"/>
    </row>
    <row r="528" spans="1:13" x14ac:dyDescent="0.25">
      <c r="A528" s="48"/>
      <c r="B528" s="49"/>
      <c r="C528" s="48"/>
      <c r="D528" s="52"/>
      <c r="E528" s="53"/>
      <c r="F528" s="56"/>
      <c r="I528" s="19"/>
    </row>
    <row r="529" spans="1:9" x14ac:dyDescent="0.25">
      <c r="A529" s="48"/>
      <c r="B529" s="49"/>
      <c r="C529" s="48"/>
      <c r="D529" s="52"/>
      <c r="E529" s="53"/>
      <c r="F529" s="56"/>
      <c r="I529" s="19"/>
    </row>
    <row r="530" spans="1:9" x14ac:dyDescent="0.25">
      <c r="A530" s="48"/>
      <c r="B530" s="49"/>
      <c r="C530" s="48"/>
      <c r="D530" s="52"/>
      <c r="E530" s="53"/>
      <c r="F530" s="56"/>
      <c r="I530" s="19"/>
    </row>
    <row r="531" spans="1:9" x14ac:dyDescent="0.25">
      <c r="A531" s="48"/>
      <c r="B531" s="49"/>
      <c r="C531" s="48"/>
      <c r="D531" s="52"/>
      <c r="E531" s="53"/>
      <c r="F531" s="56"/>
      <c r="I531" s="19"/>
    </row>
    <row r="532" spans="1:9" x14ac:dyDescent="0.25">
      <c r="A532" s="48"/>
      <c r="B532" s="49"/>
      <c r="C532" s="48"/>
      <c r="D532" s="52"/>
      <c r="E532" s="53"/>
      <c r="F532" s="56"/>
      <c r="I532" s="19"/>
    </row>
    <row r="533" spans="1:9" x14ac:dyDescent="0.25">
      <c r="A533" s="48"/>
      <c r="B533" s="49"/>
      <c r="C533" s="48"/>
      <c r="D533" s="52"/>
      <c r="E533" s="53"/>
      <c r="F533" s="56"/>
      <c r="I533" s="19"/>
    </row>
    <row r="534" spans="1:9" x14ac:dyDescent="0.25">
      <c r="A534" s="48"/>
      <c r="B534" s="49"/>
      <c r="C534" s="48"/>
      <c r="D534" s="52"/>
      <c r="E534" s="53"/>
      <c r="F534" s="56"/>
      <c r="I534" s="19"/>
    </row>
    <row r="535" spans="1:9" x14ac:dyDescent="0.25">
      <c r="A535" s="48"/>
      <c r="B535" s="49"/>
      <c r="C535" s="48"/>
      <c r="D535" s="52"/>
      <c r="E535" s="53"/>
      <c r="F535" s="56"/>
      <c r="I535" s="19"/>
    </row>
    <row r="536" spans="1:9" x14ac:dyDescent="0.25">
      <c r="A536" s="48"/>
      <c r="B536" s="49"/>
      <c r="C536" s="48"/>
      <c r="D536" s="52"/>
      <c r="E536" s="53"/>
      <c r="F536" s="56"/>
      <c r="I536" s="19"/>
    </row>
    <row r="537" spans="1:9" x14ac:dyDescent="0.25">
      <c r="A537" s="48"/>
      <c r="B537" s="49"/>
      <c r="C537" s="48"/>
      <c r="D537" s="52"/>
      <c r="E537" s="53"/>
      <c r="F537" s="56"/>
      <c r="I537" s="19"/>
    </row>
    <row r="538" spans="1:9" x14ac:dyDescent="0.25">
      <c r="A538" s="48"/>
      <c r="B538" s="49"/>
      <c r="C538" s="48"/>
      <c r="D538" s="52"/>
      <c r="E538" s="53"/>
      <c r="F538" s="56"/>
      <c r="I538" s="19"/>
    </row>
    <row r="539" spans="1:9" x14ac:dyDescent="0.25">
      <c r="A539" s="48"/>
      <c r="B539" s="49"/>
      <c r="C539" s="48"/>
      <c r="D539" s="52"/>
      <c r="E539" s="53"/>
      <c r="F539" s="56"/>
      <c r="I539" s="19"/>
    </row>
    <row r="540" spans="1:9" x14ac:dyDescent="0.25">
      <c r="A540" s="48"/>
      <c r="B540" s="49"/>
      <c r="C540" s="48"/>
      <c r="D540" s="52"/>
      <c r="E540" s="53"/>
      <c r="F540" s="56"/>
      <c r="I540" s="19"/>
    </row>
    <row r="541" spans="1:9" x14ac:dyDescent="0.25">
      <c r="A541" s="48"/>
      <c r="B541" s="49"/>
      <c r="C541" s="48"/>
      <c r="D541" s="52"/>
      <c r="E541" s="53"/>
      <c r="F541" s="56"/>
      <c r="I541" s="19"/>
    </row>
    <row r="542" spans="1:9" x14ac:dyDescent="0.25">
      <c r="A542" s="48"/>
      <c r="B542" s="49"/>
      <c r="C542" s="48"/>
      <c r="D542" s="52"/>
      <c r="E542" s="53"/>
      <c r="F542" s="56"/>
      <c r="I542" s="19"/>
    </row>
    <row r="543" spans="1:9" x14ac:dyDescent="0.25">
      <c r="A543" s="48"/>
      <c r="B543" s="49"/>
      <c r="C543" s="48"/>
      <c r="D543" s="52"/>
      <c r="E543" s="53"/>
      <c r="F543" s="56"/>
      <c r="I543" s="19"/>
    </row>
    <row r="544" spans="1:9" x14ac:dyDescent="0.25">
      <c r="A544" s="48"/>
      <c r="B544" s="49"/>
      <c r="C544" s="48"/>
      <c r="D544" s="52"/>
      <c r="E544" s="53"/>
      <c r="F544" s="56"/>
      <c r="I544" s="19"/>
    </row>
    <row r="545" spans="1:9" x14ac:dyDescent="0.25">
      <c r="A545" s="48"/>
      <c r="B545" s="49"/>
      <c r="C545" s="48"/>
      <c r="D545" s="52"/>
      <c r="E545" s="53"/>
      <c r="F545" s="56"/>
      <c r="I545" s="19"/>
    </row>
    <row r="546" spans="1:9" x14ac:dyDescent="0.25">
      <c r="A546" s="48"/>
      <c r="B546" s="49"/>
      <c r="C546" s="48"/>
      <c r="D546" s="52"/>
      <c r="E546" s="53"/>
      <c r="F546" s="56"/>
      <c r="I546" s="19"/>
    </row>
    <row r="547" spans="1:9" x14ac:dyDescent="0.25">
      <c r="A547" s="48"/>
      <c r="B547" s="49"/>
      <c r="C547" s="48"/>
      <c r="D547" s="52"/>
      <c r="E547" s="53"/>
      <c r="F547" s="56"/>
      <c r="I547" s="19"/>
    </row>
    <row r="548" spans="1:9" x14ac:dyDescent="0.25">
      <c r="A548" s="48"/>
      <c r="B548" s="49"/>
      <c r="C548" s="48"/>
      <c r="D548" s="52"/>
      <c r="E548" s="53"/>
      <c r="F548" s="56"/>
      <c r="I548" s="19"/>
    </row>
    <row r="549" spans="1:9" x14ac:dyDescent="0.25">
      <c r="A549" s="48"/>
      <c r="B549" s="49"/>
      <c r="C549" s="48"/>
      <c r="D549" s="52"/>
      <c r="E549" s="53"/>
      <c r="F549" s="56"/>
      <c r="I549" s="19"/>
    </row>
    <row r="550" spans="1:9" x14ac:dyDescent="0.25">
      <c r="A550" s="48"/>
      <c r="B550" s="49"/>
      <c r="C550" s="48"/>
      <c r="D550" s="52"/>
      <c r="E550" s="53"/>
      <c r="F550" s="56"/>
      <c r="I550" s="19"/>
    </row>
    <row r="551" spans="1:9" x14ac:dyDescent="0.25">
      <c r="A551" s="48"/>
      <c r="B551" s="49"/>
      <c r="C551" s="48"/>
      <c r="D551" s="52"/>
      <c r="E551" s="53"/>
      <c r="F551" s="56"/>
      <c r="I551" s="19"/>
    </row>
    <row r="552" spans="1:9" x14ac:dyDescent="0.25">
      <c r="A552" s="48"/>
      <c r="B552" s="49"/>
      <c r="C552" s="48"/>
      <c r="D552" s="52"/>
      <c r="E552" s="53"/>
      <c r="F552" s="56"/>
      <c r="I552" s="19"/>
    </row>
    <row r="553" spans="1:9" x14ac:dyDescent="0.25">
      <c r="A553" s="48"/>
      <c r="B553" s="49"/>
      <c r="C553" s="48"/>
      <c r="D553" s="52"/>
      <c r="E553" s="53"/>
      <c r="F553" s="56"/>
      <c r="I553" s="19"/>
    </row>
    <row r="554" spans="1:9" x14ac:dyDescent="0.25">
      <c r="A554" s="48"/>
      <c r="B554" s="49"/>
      <c r="C554" s="48"/>
      <c r="D554" s="52"/>
      <c r="E554" s="53"/>
      <c r="F554" s="56"/>
      <c r="I554" s="19"/>
    </row>
    <row r="555" spans="1:9" x14ac:dyDescent="0.25">
      <c r="A555" s="48"/>
      <c r="B555" s="49"/>
      <c r="C555" s="48"/>
      <c r="D555" s="52"/>
      <c r="E555" s="53"/>
      <c r="F555" s="56"/>
      <c r="I555" s="19"/>
    </row>
    <row r="556" spans="1:9" x14ac:dyDescent="0.25">
      <c r="A556" s="48"/>
      <c r="B556" s="49"/>
      <c r="C556" s="48"/>
      <c r="D556" s="52"/>
      <c r="E556" s="53"/>
      <c r="F556" s="56"/>
      <c r="I556" s="19"/>
    </row>
    <row r="557" spans="1:9" x14ac:dyDescent="0.25">
      <c r="A557" s="48"/>
      <c r="B557" s="49"/>
      <c r="C557" s="48"/>
      <c r="D557" s="52"/>
      <c r="E557" s="53"/>
      <c r="F557" s="56"/>
      <c r="I557" s="19"/>
    </row>
    <row r="558" spans="1:9" x14ac:dyDescent="0.25">
      <c r="A558" s="48"/>
      <c r="B558" s="49"/>
      <c r="C558" s="48"/>
      <c r="D558" s="52"/>
      <c r="E558" s="53"/>
      <c r="F558" s="56"/>
      <c r="I558" s="19"/>
    </row>
    <row r="559" spans="1:9" x14ac:dyDescent="0.25">
      <c r="A559" s="48"/>
      <c r="B559" s="49"/>
      <c r="C559" s="48"/>
      <c r="D559" s="52"/>
      <c r="E559" s="53"/>
      <c r="F559" s="56"/>
      <c r="I559" s="19"/>
    </row>
    <row r="560" spans="1:9" x14ac:dyDescent="0.25">
      <c r="A560" s="48"/>
      <c r="B560" s="49"/>
      <c r="C560" s="48"/>
      <c r="D560" s="52"/>
      <c r="E560" s="53"/>
      <c r="F560" s="56"/>
      <c r="I560" s="19"/>
    </row>
    <row r="561" spans="1:9" x14ac:dyDescent="0.25">
      <c r="A561" s="48"/>
      <c r="B561" s="49"/>
      <c r="C561" s="48"/>
      <c r="D561" s="52"/>
      <c r="E561" s="53"/>
      <c r="F561" s="56"/>
      <c r="I561" s="19"/>
    </row>
    <row r="562" spans="1:9" x14ac:dyDescent="0.25">
      <c r="A562" s="48"/>
      <c r="B562" s="49"/>
      <c r="C562" s="48"/>
      <c r="D562" s="52"/>
      <c r="E562" s="53"/>
      <c r="F562" s="56"/>
      <c r="I562" s="19"/>
    </row>
    <row r="563" spans="1:9" x14ac:dyDescent="0.25">
      <c r="A563" s="48"/>
      <c r="B563" s="49"/>
      <c r="C563" s="48"/>
      <c r="D563" s="52"/>
      <c r="E563" s="53"/>
      <c r="F563" s="56"/>
      <c r="I563" s="19"/>
    </row>
    <row r="564" spans="1:9" x14ac:dyDescent="0.25">
      <c r="A564" s="48"/>
      <c r="B564" s="49"/>
      <c r="C564" s="48"/>
      <c r="D564" s="52"/>
      <c r="E564" s="53"/>
      <c r="F564" s="56"/>
      <c r="I564" s="19"/>
    </row>
    <row r="565" spans="1:9" x14ac:dyDescent="0.25">
      <c r="A565" s="48"/>
      <c r="B565" s="49"/>
      <c r="C565" s="48"/>
      <c r="D565" s="52"/>
      <c r="E565" s="53"/>
      <c r="F565" s="56"/>
      <c r="I565" s="19"/>
    </row>
    <row r="566" spans="1:9" x14ac:dyDescent="0.25">
      <c r="A566" s="48"/>
      <c r="B566" s="49"/>
      <c r="C566" s="48"/>
      <c r="D566" s="52"/>
      <c r="E566" s="53"/>
      <c r="F566" s="56"/>
      <c r="I566" s="19"/>
    </row>
    <row r="567" spans="1:9" x14ac:dyDescent="0.25">
      <c r="A567" s="48"/>
      <c r="B567" s="49"/>
      <c r="C567" s="48"/>
      <c r="D567" s="52"/>
      <c r="E567" s="53"/>
      <c r="F567" s="56"/>
      <c r="I567" s="19"/>
    </row>
    <row r="568" spans="1:9" x14ac:dyDescent="0.25">
      <c r="A568" s="48"/>
      <c r="B568" s="49"/>
      <c r="C568" s="48"/>
      <c r="D568" s="52"/>
      <c r="E568" s="53"/>
      <c r="F568" s="56"/>
      <c r="I568" s="19"/>
    </row>
    <row r="569" spans="1:9" x14ac:dyDescent="0.25">
      <c r="A569" s="48"/>
      <c r="B569" s="49"/>
      <c r="C569" s="48"/>
      <c r="D569" s="52"/>
      <c r="E569" s="53"/>
      <c r="F569" s="56"/>
      <c r="I569" s="19"/>
    </row>
    <row r="570" spans="1:9" x14ac:dyDescent="0.25">
      <c r="A570" s="48"/>
      <c r="B570" s="49"/>
      <c r="C570" s="48"/>
      <c r="D570" s="52"/>
      <c r="E570" s="53"/>
      <c r="F570" s="56"/>
      <c r="I570" s="19"/>
    </row>
    <row r="571" spans="1:9" x14ac:dyDescent="0.25">
      <c r="A571" s="48"/>
      <c r="B571" s="49"/>
      <c r="C571" s="48"/>
      <c r="D571" s="52"/>
      <c r="E571" s="53"/>
      <c r="F571" s="56"/>
      <c r="I571" s="19"/>
    </row>
    <row r="572" spans="1:9" x14ac:dyDescent="0.25">
      <c r="A572" s="48"/>
      <c r="B572" s="49"/>
      <c r="C572" s="48"/>
      <c r="D572" s="52"/>
      <c r="E572" s="53"/>
      <c r="F572" s="56"/>
      <c r="I572" s="19"/>
    </row>
    <row r="573" spans="1:9" x14ac:dyDescent="0.25">
      <c r="A573" s="48"/>
      <c r="B573" s="49"/>
      <c r="C573" s="48"/>
      <c r="D573" s="52"/>
      <c r="E573" s="53"/>
      <c r="F573" s="56"/>
      <c r="I573" s="19"/>
    </row>
    <row r="574" spans="1:9" x14ac:dyDescent="0.25">
      <c r="A574" s="48"/>
      <c r="B574" s="49"/>
      <c r="C574" s="48"/>
      <c r="D574" s="52"/>
      <c r="E574" s="53"/>
      <c r="F574" s="56"/>
      <c r="I574" s="19"/>
    </row>
    <row r="575" spans="1:9" x14ac:dyDescent="0.25">
      <c r="A575" s="48"/>
      <c r="B575" s="49"/>
      <c r="C575" s="48"/>
      <c r="D575" s="52"/>
      <c r="E575" s="53"/>
      <c r="F575" s="56"/>
      <c r="I575" s="19"/>
    </row>
    <row r="576" spans="1:9" x14ac:dyDescent="0.25">
      <c r="A576" s="48"/>
      <c r="B576" s="49"/>
      <c r="C576" s="48"/>
      <c r="D576" s="52"/>
      <c r="E576" s="53"/>
      <c r="F576" s="56"/>
      <c r="I576" s="19"/>
    </row>
    <row r="577" spans="1:9" x14ac:dyDescent="0.25">
      <c r="A577" s="48"/>
      <c r="B577" s="49"/>
      <c r="C577" s="48"/>
      <c r="D577" s="52"/>
      <c r="E577" s="53"/>
      <c r="F577" s="56"/>
      <c r="I577" s="19"/>
    </row>
    <row r="578" spans="1:9" x14ac:dyDescent="0.25">
      <c r="A578" s="48"/>
      <c r="B578" s="49"/>
      <c r="C578" s="48"/>
      <c r="D578" s="52"/>
      <c r="E578" s="53"/>
      <c r="F578" s="56"/>
      <c r="I578" s="19"/>
    </row>
    <row r="579" spans="1:9" x14ac:dyDescent="0.25">
      <c r="A579" s="48"/>
      <c r="B579" s="49"/>
      <c r="C579" s="48"/>
      <c r="D579" s="52"/>
      <c r="E579" s="53"/>
      <c r="F579" s="56"/>
      <c r="I579" s="19"/>
    </row>
    <row r="580" spans="1:9" x14ac:dyDescent="0.25">
      <c r="A580" s="48"/>
      <c r="B580" s="49"/>
      <c r="C580" s="48"/>
      <c r="D580" s="52"/>
      <c r="E580" s="53"/>
      <c r="F580" s="56"/>
      <c r="I580" s="19"/>
    </row>
    <row r="581" spans="1:9" x14ac:dyDescent="0.25">
      <c r="A581" s="48"/>
      <c r="B581" s="49"/>
      <c r="C581" s="48"/>
      <c r="D581" s="52"/>
      <c r="E581" s="53"/>
      <c r="F581" s="56"/>
      <c r="I581" s="19"/>
    </row>
    <row r="582" spans="1:9" x14ac:dyDescent="0.25">
      <c r="A582" s="48"/>
      <c r="B582" s="49"/>
      <c r="C582" s="48"/>
      <c r="D582" s="52"/>
      <c r="E582" s="53"/>
      <c r="F582" s="56"/>
      <c r="I582" s="19"/>
    </row>
    <row r="583" spans="1:9" x14ac:dyDescent="0.25">
      <c r="A583" s="48"/>
      <c r="B583" s="49"/>
      <c r="C583" s="48"/>
      <c r="D583" s="52"/>
      <c r="E583" s="53"/>
      <c r="F583" s="56"/>
      <c r="I583" s="19"/>
    </row>
    <row r="584" spans="1:9" x14ac:dyDescent="0.25">
      <c r="A584" s="48"/>
      <c r="B584" s="49"/>
      <c r="C584" s="48"/>
      <c r="D584" s="52"/>
      <c r="E584" s="53"/>
      <c r="F584" s="56"/>
      <c r="I584" s="19"/>
    </row>
    <row r="585" spans="1:9" x14ac:dyDescent="0.25">
      <c r="A585" s="48"/>
      <c r="B585" s="49"/>
      <c r="C585" s="48"/>
      <c r="D585" s="52"/>
      <c r="E585" s="53"/>
      <c r="F585" s="56"/>
      <c r="I585" s="19"/>
    </row>
    <row r="586" spans="1:9" x14ac:dyDescent="0.25">
      <c r="A586" s="48"/>
      <c r="B586" s="49"/>
      <c r="C586" s="48"/>
      <c r="D586" s="52"/>
      <c r="E586" s="53"/>
      <c r="F586" s="56"/>
      <c r="I586" s="19"/>
    </row>
    <row r="587" spans="1:9" x14ac:dyDescent="0.25">
      <c r="A587" s="48"/>
      <c r="B587" s="49"/>
      <c r="C587" s="48"/>
      <c r="D587" s="52"/>
      <c r="E587" s="53"/>
      <c r="F587" s="56"/>
      <c r="I587" s="19"/>
    </row>
    <row r="588" spans="1:9" x14ac:dyDescent="0.25">
      <c r="A588" s="48"/>
      <c r="B588" s="49"/>
      <c r="C588" s="48"/>
      <c r="D588" s="52"/>
      <c r="E588" s="53"/>
      <c r="F588" s="56"/>
      <c r="I588" s="19"/>
    </row>
    <row r="589" spans="1:9" x14ac:dyDescent="0.25">
      <c r="A589" s="48"/>
      <c r="B589" s="49"/>
      <c r="C589" s="48"/>
      <c r="D589" s="52"/>
      <c r="E589" s="53"/>
      <c r="F589" s="56"/>
      <c r="I589" s="19"/>
    </row>
    <row r="590" spans="1:9" x14ac:dyDescent="0.25">
      <c r="A590" s="48"/>
      <c r="B590" s="49"/>
      <c r="C590" s="48"/>
      <c r="D590" s="52"/>
      <c r="E590" s="53"/>
      <c r="F590" s="56"/>
      <c r="I590" s="19"/>
    </row>
    <row r="591" spans="1:9" x14ac:dyDescent="0.25">
      <c r="A591" s="48"/>
      <c r="B591" s="49"/>
      <c r="C591" s="48"/>
      <c r="D591" s="52"/>
      <c r="E591" s="53"/>
      <c r="F591" s="56"/>
      <c r="I591" s="19"/>
    </row>
    <row r="592" spans="1:9" x14ac:dyDescent="0.25">
      <c r="A592" s="48"/>
      <c r="B592" s="49"/>
      <c r="C592" s="48"/>
      <c r="D592" s="52"/>
      <c r="E592" s="53"/>
      <c r="F592" s="56"/>
      <c r="I592" s="19"/>
    </row>
    <row r="593" spans="1:9" x14ac:dyDescent="0.25">
      <c r="A593" s="48"/>
      <c r="B593" s="49"/>
      <c r="C593" s="48"/>
      <c r="D593" s="52"/>
      <c r="E593" s="53"/>
      <c r="F593" s="56"/>
      <c r="I593" s="19"/>
    </row>
    <row r="594" spans="1:9" x14ac:dyDescent="0.25">
      <c r="A594" s="48"/>
      <c r="B594" s="49"/>
      <c r="C594" s="48"/>
      <c r="D594" s="52"/>
      <c r="E594" s="53"/>
      <c r="F594" s="56"/>
      <c r="I594" s="19"/>
    </row>
    <row r="595" spans="1:9" x14ac:dyDescent="0.25">
      <c r="A595" s="48"/>
      <c r="B595" s="49"/>
      <c r="C595" s="48"/>
      <c r="D595" s="52"/>
      <c r="E595" s="53"/>
      <c r="F595" s="56"/>
      <c r="I595" s="19"/>
    </row>
    <row r="596" spans="1:9" x14ac:dyDescent="0.25">
      <c r="A596" s="48"/>
      <c r="B596" s="49"/>
      <c r="C596" s="48"/>
      <c r="D596" s="52"/>
      <c r="E596" s="53"/>
      <c r="F596" s="56"/>
      <c r="I596" s="19"/>
    </row>
    <row r="597" spans="1:9" x14ac:dyDescent="0.25">
      <c r="A597" s="48"/>
      <c r="B597" s="49"/>
      <c r="C597" s="48"/>
      <c r="D597" s="52"/>
      <c r="E597" s="53"/>
      <c r="F597" s="56"/>
      <c r="I597" s="19"/>
    </row>
    <row r="598" spans="1:9" x14ac:dyDescent="0.25">
      <c r="A598" s="48"/>
      <c r="B598" s="49"/>
      <c r="C598" s="48"/>
      <c r="D598" s="52"/>
      <c r="E598" s="53"/>
      <c r="F598" s="56"/>
      <c r="I598" s="19"/>
    </row>
    <row r="599" spans="1:9" x14ac:dyDescent="0.25">
      <c r="A599" s="48"/>
      <c r="B599" s="49"/>
      <c r="C599" s="48"/>
      <c r="D599" s="52"/>
      <c r="E599" s="53"/>
      <c r="F599" s="56"/>
      <c r="I599" s="19"/>
    </row>
    <row r="600" spans="1:9" x14ac:dyDescent="0.25">
      <c r="A600" s="48"/>
      <c r="B600" s="49"/>
      <c r="C600" s="48"/>
      <c r="D600" s="52"/>
      <c r="E600" s="53"/>
      <c r="F600" s="56"/>
      <c r="I600" s="19"/>
    </row>
    <row r="601" spans="1:9" x14ac:dyDescent="0.25">
      <c r="A601" s="48"/>
      <c r="B601" s="49"/>
      <c r="C601" s="48"/>
      <c r="D601" s="52"/>
      <c r="E601" s="53"/>
      <c r="F601" s="56"/>
      <c r="I601" s="19"/>
    </row>
    <row r="602" spans="1:9" x14ac:dyDescent="0.25">
      <c r="A602" s="48"/>
      <c r="B602" s="49"/>
      <c r="C602" s="48"/>
      <c r="D602" s="52"/>
      <c r="E602" s="53"/>
      <c r="F602" s="56"/>
      <c r="I602" s="19"/>
    </row>
    <row r="603" spans="1:9" x14ac:dyDescent="0.25">
      <c r="A603" s="48"/>
      <c r="B603" s="49"/>
      <c r="C603" s="48"/>
      <c r="D603" s="52"/>
      <c r="E603" s="53"/>
      <c r="F603" s="56"/>
      <c r="I603" s="19"/>
    </row>
    <row r="604" spans="1:9" x14ac:dyDescent="0.25">
      <c r="A604" s="48"/>
      <c r="B604" s="49"/>
      <c r="C604" s="48"/>
      <c r="D604" s="52"/>
      <c r="E604" s="53"/>
      <c r="F604" s="56"/>
      <c r="I604" s="19"/>
    </row>
    <row r="605" spans="1:9" x14ac:dyDescent="0.25">
      <c r="A605" s="48"/>
      <c r="B605" s="49"/>
      <c r="C605" s="48"/>
      <c r="D605" s="52"/>
      <c r="E605" s="53"/>
      <c r="F605" s="56"/>
      <c r="I605" s="19"/>
    </row>
    <row r="606" spans="1:9" x14ac:dyDescent="0.25">
      <c r="A606" s="48"/>
      <c r="B606" s="49"/>
      <c r="C606" s="48"/>
      <c r="D606" s="52"/>
      <c r="E606" s="53"/>
      <c r="F606" s="56"/>
      <c r="I606" s="19"/>
    </row>
    <row r="607" spans="1:9" x14ac:dyDescent="0.25">
      <c r="A607" s="48"/>
      <c r="B607" s="49"/>
      <c r="C607" s="48"/>
      <c r="D607" s="52"/>
      <c r="E607" s="53"/>
      <c r="F607" s="56"/>
      <c r="I607" s="19"/>
    </row>
    <row r="608" spans="1:9" x14ac:dyDescent="0.25">
      <c r="A608" s="48"/>
      <c r="B608" s="49"/>
      <c r="C608" s="48"/>
      <c r="D608" s="52"/>
      <c r="E608" s="53"/>
      <c r="F608" s="56"/>
      <c r="I608" s="19"/>
    </row>
    <row r="609" spans="1:9" x14ac:dyDescent="0.25">
      <c r="A609" s="48"/>
      <c r="B609" s="49"/>
      <c r="C609" s="48"/>
      <c r="D609" s="52"/>
      <c r="E609" s="53"/>
      <c r="F609" s="56"/>
      <c r="I609" s="19"/>
    </row>
    <row r="610" spans="1:9" x14ac:dyDescent="0.25">
      <c r="A610" s="48"/>
      <c r="B610" s="49"/>
      <c r="C610" s="48"/>
      <c r="D610" s="52"/>
      <c r="E610" s="53"/>
      <c r="F610" s="56"/>
      <c r="I610" s="19"/>
    </row>
    <row r="611" spans="1:9" x14ac:dyDescent="0.25">
      <c r="A611" s="48"/>
      <c r="B611" s="49"/>
      <c r="C611" s="48"/>
      <c r="D611" s="52"/>
      <c r="E611" s="53"/>
      <c r="F611" s="56"/>
      <c r="I611" s="19"/>
    </row>
    <row r="612" spans="1:9" x14ac:dyDescent="0.25">
      <c r="A612" s="48"/>
      <c r="B612" s="49"/>
      <c r="C612" s="48"/>
      <c r="D612" s="52"/>
      <c r="E612" s="53"/>
      <c r="F612" s="56"/>
      <c r="I612" s="19"/>
    </row>
    <row r="613" spans="1:9" x14ac:dyDescent="0.25">
      <c r="A613" s="48"/>
      <c r="B613" s="49"/>
      <c r="C613" s="48"/>
      <c r="D613" s="52"/>
      <c r="E613" s="53"/>
      <c r="F613" s="56"/>
      <c r="I613" s="19"/>
    </row>
    <row r="614" spans="1:9" x14ac:dyDescent="0.25">
      <c r="A614" s="48"/>
      <c r="B614" s="49"/>
      <c r="C614" s="48"/>
      <c r="D614" s="52"/>
      <c r="E614" s="53"/>
      <c r="F614" s="56"/>
      <c r="I614" s="19"/>
    </row>
    <row r="615" spans="1:9" x14ac:dyDescent="0.25">
      <c r="A615" s="48"/>
      <c r="B615" s="49"/>
      <c r="C615" s="48"/>
      <c r="D615" s="52"/>
      <c r="E615" s="53"/>
      <c r="F615" s="56"/>
      <c r="I615" s="19"/>
    </row>
    <row r="616" spans="1:9" x14ac:dyDescent="0.25">
      <c r="A616" s="48"/>
      <c r="B616" s="49"/>
      <c r="C616" s="48"/>
      <c r="D616" s="52"/>
      <c r="E616" s="53"/>
      <c r="F616" s="56"/>
      <c r="I616" s="19"/>
    </row>
    <row r="617" spans="1:9" x14ac:dyDescent="0.25">
      <c r="A617" s="48"/>
      <c r="B617" s="49"/>
      <c r="C617" s="48"/>
      <c r="D617" s="52"/>
      <c r="E617" s="53"/>
      <c r="F617" s="56"/>
      <c r="I617" s="19"/>
    </row>
    <row r="618" spans="1:9" x14ac:dyDescent="0.25">
      <c r="A618" s="48"/>
      <c r="B618" s="49"/>
      <c r="C618" s="48"/>
      <c r="D618" s="52"/>
      <c r="E618" s="53"/>
      <c r="F618" s="56"/>
      <c r="I618" s="19"/>
    </row>
    <row r="619" spans="1:9" x14ac:dyDescent="0.25">
      <c r="A619" s="48"/>
      <c r="B619" s="49"/>
      <c r="C619" s="48"/>
      <c r="D619" s="52"/>
      <c r="E619" s="53"/>
      <c r="F619" s="56"/>
      <c r="I619" s="19"/>
    </row>
    <row r="620" spans="1:9" x14ac:dyDescent="0.25">
      <c r="A620" s="48"/>
      <c r="B620" s="49"/>
      <c r="C620" s="48"/>
      <c r="D620" s="52"/>
      <c r="E620" s="53"/>
      <c r="F620" s="56"/>
      <c r="I620" s="19"/>
    </row>
    <row r="621" spans="1:9" x14ac:dyDescent="0.25">
      <c r="A621" s="48"/>
      <c r="B621" s="49"/>
      <c r="C621" s="48"/>
      <c r="D621" s="52"/>
      <c r="E621" s="53"/>
      <c r="F621" s="56"/>
      <c r="I621" s="19"/>
    </row>
    <row r="622" spans="1:9" x14ac:dyDescent="0.25">
      <c r="A622" s="48"/>
      <c r="B622" s="49"/>
      <c r="C622" s="48"/>
      <c r="D622" s="52"/>
      <c r="E622" s="53"/>
      <c r="F622" s="56"/>
      <c r="I622" s="19"/>
    </row>
    <row r="623" spans="1:9" x14ac:dyDescent="0.25">
      <c r="A623" s="48"/>
      <c r="B623" s="49"/>
      <c r="C623" s="48"/>
      <c r="D623" s="52"/>
      <c r="E623" s="53"/>
      <c r="F623" s="56"/>
      <c r="I623" s="19"/>
    </row>
    <row r="624" spans="1:9" x14ac:dyDescent="0.25">
      <c r="A624" s="48"/>
      <c r="B624" s="49"/>
      <c r="C624" s="48"/>
      <c r="D624" s="52"/>
      <c r="E624" s="53"/>
      <c r="F624" s="56"/>
      <c r="I624" s="19"/>
    </row>
    <row r="625" spans="1:9" x14ac:dyDescent="0.25">
      <c r="A625" s="48"/>
      <c r="B625" s="49"/>
      <c r="C625" s="48"/>
      <c r="D625" s="52"/>
      <c r="E625" s="53"/>
      <c r="F625" s="56"/>
      <c r="I625" s="19"/>
    </row>
    <row r="626" spans="1:9" x14ac:dyDescent="0.25">
      <c r="A626" s="48"/>
      <c r="B626" s="49"/>
      <c r="C626" s="48"/>
      <c r="D626" s="52"/>
      <c r="E626" s="53"/>
      <c r="F626" s="56"/>
      <c r="I626" s="19"/>
    </row>
    <row r="627" spans="1:9" x14ac:dyDescent="0.25">
      <c r="A627" s="48"/>
      <c r="B627" s="49"/>
      <c r="C627" s="48"/>
      <c r="D627" s="52"/>
      <c r="E627" s="53"/>
      <c r="F627" s="56"/>
      <c r="I627" s="19"/>
    </row>
    <row r="628" spans="1:9" x14ac:dyDescent="0.25">
      <c r="A628" s="48"/>
      <c r="B628" s="49"/>
      <c r="C628" s="48"/>
      <c r="D628" s="52"/>
      <c r="E628" s="53"/>
      <c r="F628" s="56"/>
      <c r="I628" s="19"/>
    </row>
    <row r="629" spans="1:9" x14ac:dyDescent="0.25">
      <c r="A629" s="48"/>
      <c r="B629" s="49"/>
      <c r="C629" s="48"/>
      <c r="D629" s="52"/>
      <c r="E629" s="53"/>
      <c r="F629" s="56"/>
      <c r="I629" s="19"/>
    </row>
    <row r="630" spans="1:9" x14ac:dyDescent="0.25">
      <c r="A630" s="48"/>
      <c r="B630" s="49"/>
      <c r="C630" s="48"/>
      <c r="D630" s="52"/>
      <c r="E630" s="53"/>
      <c r="F630" s="56"/>
      <c r="I630" s="19"/>
    </row>
    <row r="631" spans="1:9" x14ac:dyDescent="0.25">
      <c r="A631" s="48"/>
      <c r="B631" s="49"/>
      <c r="C631" s="48"/>
      <c r="D631" s="52"/>
      <c r="E631" s="53"/>
      <c r="F631" s="56"/>
      <c r="I631" s="19"/>
    </row>
    <row r="632" spans="1:9" x14ac:dyDescent="0.25">
      <c r="A632" s="48"/>
      <c r="B632" s="49"/>
      <c r="C632" s="48"/>
      <c r="D632" s="52"/>
      <c r="E632" s="53"/>
      <c r="F632" s="56"/>
      <c r="I632" s="19"/>
    </row>
    <row r="633" spans="1:9" x14ac:dyDescent="0.25">
      <c r="A633" s="48"/>
      <c r="B633" s="49"/>
      <c r="C633" s="48"/>
      <c r="D633" s="52"/>
      <c r="E633" s="53"/>
      <c r="F633" s="56"/>
      <c r="I633" s="19"/>
    </row>
    <row r="634" spans="1:9" x14ac:dyDescent="0.25">
      <c r="A634" s="48"/>
      <c r="B634" s="49"/>
      <c r="C634" s="48"/>
      <c r="D634" s="52"/>
      <c r="E634" s="53"/>
      <c r="F634" s="56"/>
      <c r="I634" s="19"/>
    </row>
    <row r="635" spans="1:9" x14ac:dyDescent="0.25">
      <c r="A635" s="48"/>
      <c r="B635" s="49"/>
      <c r="C635" s="48"/>
      <c r="D635" s="52"/>
      <c r="E635" s="53"/>
      <c r="F635" s="56"/>
      <c r="I635" s="19"/>
    </row>
    <row r="636" spans="1:9" x14ac:dyDescent="0.25">
      <c r="A636" s="48"/>
      <c r="B636" s="49"/>
      <c r="C636" s="48"/>
      <c r="D636" s="52"/>
      <c r="E636" s="53"/>
      <c r="F636" s="56"/>
      <c r="I636" s="19"/>
    </row>
    <row r="637" spans="1:9" x14ac:dyDescent="0.25">
      <c r="A637" s="48"/>
      <c r="B637" s="49"/>
      <c r="C637" s="48"/>
      <c r="D637" s="52"/>
      <c r="E637" s="53"/>
      <c r="F637" s="56"/>
      <c r="I637" s="19"/>
    </row>
    <row r="638" spans="1:9" x14ac:dyDescent="0.25">
      <c r="A638" s="48"/>
      <c r="B638" s="49"/>
      <c r="C638" s="48"/>
      <c r="D638" s="52"/>
      <c r="E638" s="53"/>
      <c r="F638" s="56"/>
      <c r="I638" s="19"/>
    </row>
    <row r="639" spans="1:9" x14ac:dyDescent="0.25">
      <c r="A639" s="48"/>
      <c r="B639" s="49"/>
      <c r="C639" s="48"/>
      <c r="D639" s="52"/>
      <c r="E639" s="53"/>
      <c r="F639" s="56"/>
      <c r="I639" s="19"/>
    </row>
    <row r="640" spans="1:9" x14ac:dyDescent="0.25">
      <c r="A640" s="48"/>
      <c r="B640" s="49"/>
      <c r="C640" s="48"/>
      <c r="D640" s="52"/>
      <c r="E640" s="53"/>
      <c r="F640" s="56"/>
      <c r="I640" s="19"/>
    </row>
    <row r="641" spans="1:9" x14ac:dyDescent="0.25">
      <c r="A641" s="48"/>
      <c r="B641" s="49"/>
      <c r="C641" s="48"/>
      <c r="D641" s="52"/>
      <c r="E641" s="53"/>
      <c r="F641" s="56"/>
      <c r="I641" s="19"/>
    </row>
    <row r="642" spans="1:9" x14ac:dyDescent="0.25">
      <c r="A642" s="48"/>
      <c r="B642" s="49"/>
      <c r="C642" s="48"/>
      <c r="D642" s="52"/>
      <c r="E642" s="53"/>
      <c r="F642" s="56"/>
      <c r="I642" s="19"/>
    </row>
    <row r="643" spans="1:9" x14ac:dyDescent="0.25">
      <c r="A643" s="48"/>
      <c r="B643" s="49"/>
      <c r="C643" s="48"/>
      <c r="D643" s="52"/>
      <c r="E643" s="53"/>
      <c r="F643" s="56"/>
      <c r="I643" s="19"/>
    </row>
    <row r="644" spans="1:9" x14ac:dyDescent="0.25">
      <c r="A644" s="48"/>
      <c r="B644" s="49"/>
      <c r="C644" s="48"/>
      <c r="D644" s="52"/>
      <c r="E644" s="53"/>
      <c r="F644" s="56"/>
      <c r="I644" s="19"/>
    </row>
    <row r="645" spans="1:9" x14ac:dyDescent="0.25">
      <c r="A645" s="48"/>
      <c r="B645" s="49"/>
      <c r="C645" s="48"/>
      <c r="D645" s="52"/>
      <c r="E645" s="53"/>
      <c r="F645" s="56"/>
      <c r="I645" s="19"/>
    </row>
    <row r="646" spans="1:9" x14ac:dyDescent="0.25">
      <c r="A646" s="48"/>
      <c r="B646" s="49"/>
      <c r="C646" s="48"/>
      <c r="D646" s="52"/>
      <c r="E646" s="53"/>
      <c r="F646" s="56"/>
      <c r="I646" s="19"/>
    </row>
    <row r="647" spans="1:9" x14ac:dyDescent="0.25">
      <c r="A647" s="48"/>
      <c r="B647" s="49"/>
      <c r="C647" s="48"/>
      <c r="D647" s="52"/>
      <c r="E647" s="53"/>
      <c r="F647" s="56"/>
      <c r="I647" s="19"/>
    </row>
    <row r="648" spans="1:9" x14ac:dyDescent="0.25">
      <c r="A648" s="48"/>
      <c r="B648" s="49"/>
      <c r="C648" s="48"/>
      <c r="D648" s="52"/>
      <c r="E648" s="53"/>
      <c r="F648" s="56"/>
      <c r="I648" s="19"/>
    </row>
    <row r="649" spans="1:9" x14ac:dyDescent="0.25">
      <c r="A649" s="48"/>
      <c r="B649" s="49"/>
      <c r="C649" s="48"/>
      <c r="D649" s="52"/>
      <c r="E649" s="53"/>
      <c r="F649" s="56"/>
      <c r="I649" s="19"/>
    </row>
    <row r="650" spans="1:9" x14ac:dyDescent="0.25">
      <c r="A650" s="48"/>
      <c r="B650" s="49"/>
      <c r="C650" s="48"/>
      <c r="D650" s="52"/>
      <c r="E650" s="53"/>
      <c r="F650" s="56"/>
      <c r="I650" s="19"/>
    </row>
    <row r="651" spans="1:9" x14ac:dyDescent="0.25">
      <c r="A651" s="48"/>
      <c r="B651" s="49"/>
      <c r="C651" s="48"/>
      <c r="D651" s="52"/>
      <c r="E651" s="53"/>
      <c r="F651" s="56"/>
      <c r="I651" s="19"/>
    </row>
    <row r="652" spans="1:9" x14ac:dyDescent="0.25">
      <c r="A652" s="48"/>
      <c r="B652" s="49"/>
      <c r="C652" s="48"/>
      <c r="D652" s="52"/>
      <c r="E652" s="53"/>
      <c r="F652" s="56"/>
      <c r="I652" s="19"/>
    </row>
    <row r="653" spans="1:9" x14ac:dyDescent="0.25">
      <c r="A653" s="48"/>
      <c r="B653" s="49"/>
      <c r="C653" s="48"/>
      <c r="D653" s="52"/>
      <c r="E653" s="53"/>
      <c r="F653" s="56"/>
      <c r="I653" s="19"/>
    </row>
    <row r="654" spans="1:9" x14ac:dyDescent="0.25">
      <c r="A654" s="48"/>
      <c r="B654" s="49"/>
      <c r="C654" s="48"/>
      <c r="D654" s="52"/>
      <c r="E654" s="53"/>
      <c r="F654" s="56"/>
      <c r="I654" s="19"/>
    </row>
    <row r="655" spans="1:9" x14ac:dyDescent="0.25">
      <c r="A655" s="48"/>
      <c r="B655" s="49"/>
      <c r="C655" s="48"/>
      <c r="D655" s="52"/>
      <c r="E655" s="53"/>
      <c r="F655" s="56"/>
      <c r="I655" s="19"/>
    </row>
    <row r="656" spans="1:9" x14ac:dyDescent="0.25">
      <c r="A656" s="48"/>
      <c r="B656" s="49"/>
      <c r="C656" s="48"/>
      <c r="D656" s="52"/>
      <c r="E656" s="53"/>
      <c r="F656" s="56"/>
      <c r="I656" s="19"/>
    </row>
    <row r="657" spans="1:9" x14ac:dyDescent="0.25">
      <c r="A657" s="48"/>
      <c r="B657" s="49"/>
      <c r="C657" s="48"/>
      <c r="D657" s="52"/>
      <c r="E657" s="53"/>
      <c r="F657" s="56"/>
      <c r="I657" s="19"/>
    </row>
    <row r="658" spans="1:9" x14ac:dyDescent="0.25">
      <c r="A658" s="48"/>
      <c r="B658" s="49"/>
      <c r="C658" s="48"/>
      <c r="D658" s="52"/>
      <c r="E658" s="53"/>
      <c r="F658" s="56"/>
      <c r="I658" s="19"/>
    </row>
    <row r="659" spans="1:9" x14ac:dyDescent="0.25">
      <c r="A659" s="48"/>
      <c r="B659" s="49"/>
      <c r="C659" s="48"/>
      <c r="D659" s="52"/>
      <c r="E659" s="53"/>
      <c r="F659" s="56"/>
      <c r="I659" s="19"/>
    </row>
    <row r="660" spans="1:9" x14ac:dyDescent="0.25">
      <c r="A660" s="48"/>
      <c r="B660" s="49"/>
      <c r="C660" s="48"/>
      <c r="D660" s="52"/>
      <c r="E660" s="53"/>
      <c r="F660" s="56"/>
      <c r="I660" s="19"/>
    </row>
    <row r="661" spans="1:9" x14ac:dyDescent="0.25">
      <c r="A661" s="48"/>
      <c r="B661" s="49"/>
      <c r="C661" s="48"/>
      <c r="D661" s="52"/>
      <c r="E661" s="53"/>
      <c r="F661" s="56"/>
      <c r="I661" s="19"/>
    </row>
    <row r="662" spans="1:9" x14ac:dyDescent="0.25">
      <c r="A662" s="48"/>
      <c r="B662" s="49"/>
      <c r="C662" s="48"/>
      <c r="D662" s="52"/>
      <c r="E662" s="53"/>
      <c r="F662" s="56"/>
      <c r="I662" s="19"/>
    </row>
    <row r="663" spans="1:9" x14ac:dyDescent="0.25">
      <c r="A663" s="48"/>
      <c r="B663" s="49"/>
      <c r="C663" s="48"/>
      <c r="D663" s="52"/>
      <c r="E663" s="53"/>
      <c r="F663" s="56"/>
      <c r="I663" s="19"/>
    </row>
    <row r="664" spans="1:9" x14ac:dyDescent="0.25">
      <c r="A664" s="48"/>
      <c r="B664" s="49"/>
      <c r="C664" s="48"/>
      <c r="D664" s="52"/>
      <c r="E664" s="53"/>
      <c r="F664" s="56"/>
      <c r="I664" s="19"/>
    </row>
    <row r="665" spans="1:9" x14ac:dyDescent="0.25">
      <c r="A665" s="48"/>
      <c r="B665" s="49"/>
      <c r="C665" s="48"/>
      <c r="D665" s="52"/>
      <c r="E665" s="53"/>
      <c r="F665" s="56"/>
      <c r="I665" s="19"/>
    </row>
    <row r="666" spans="1:9" x14ac:dyDescent="0.25">
      <c r="A666" s="48"/>
      <c r="B666" s="49"/>
      <c r="C666" s="48"/>
      <c r="D666" s="52"/>
      <c r="E666" s="53"/>
      <c r="F666" s="56"/>
      <c r="I666" s="19"/>
    </row>
    <row r="667" spans="1:9" x14ac:dyDescent="0.25">
      <c r="A667" s="48"/>
      <c r="B667" s="49"/>
      <c r="C667" s="48"/>
      <c r="D667" s="52"/>
      <c r="E667" s="53"/>
      <c r="F667" s="56"/>
      <c r="I667" s="19"/>
    </row>
    <row r="668" spans="1:9" x14ac:dyDescent="0.25">
      <c r="A668" s="48"/>
      <c r="B668" s="49"/>
      <c r="C668" s="48"/>
      <c r="D668" s="52"/>
      <c r="E668" s="53"/>
      <c r="F668" s="56"/>
      <c r="I668" s="19"/>
    </row>
    <row r="669" spans="1:9" x14ac:dyDescent="0.25">
      <c r="A669" s="48"/>
      <c r="B669" s="49"/>
      <c r="C669" s="48"/>
      <c r="D669" s="52"/>
      <c r="E669" s="53"/>
      <c r="F669" s="56"/>
      <c r="I669" s="19"/>
    </row>
    <row r="670" spans="1:9" x14ac:dyDescent="0.25">
      <c r="A670" s="48"/>
      <c r="B670" s="49"/>
      <c r="C670" s="48"/>
      <c r="D670" s="52"/>
      <c r="E670" s="53"/>
      <c r="F670" s="56"/>
      <c r="I670" s="19"/>
    </row>
    <row r="671" spans="1:9" x14ac:dyDescent="0.25">
      <c r="A671" s="48"/>
      <c r="B671" s="49"/>
      <c r="C671" s="48"/>
      <c r="D671" s="52"/>
      <c r="E671" s="53"/>
      <c r="F671" s="56"/>
      <c r="I671" s="19"/>
    </row>
    <row r="672" spans="1:9" x14ac:dyDescent="0.25">
      <c r="A672" s="48"/>
      <c r="B672" s="49"/>
      <c r="C672" s="48"/>
      <c r="D672" s="52"/>
      <c r="E672" s="53"/>
      <c r="F672" s="56"/>
      <c r="I672" s="19"/>
    </row>
    <row r="673" spans="1:9" x14ac:dyDescent="0.25">
      <c r="A673" s="48"/>
      <c r="B673" s="49"/>
      <c r="C673" s="48"/>
      <c r="D673" s="52"/>
      <c r="E673" s="53"/>
      <c r="F673" s="56"/>
      <c r="I673" s="19"/>
    </row>
    <row r="674" spans="1:9" x14ac:dyDescent="0.25">
      <c r="A674" s="48"/>
      <c r="B674" s="49"/>
      <c r="C674" s="48"/>
      <c r="D674" s="52"/>
      <c r="E674" s="53"/>
      <c r="F674" s="56"/>
      <c r="I674" s="19"/>
    </row>
    <row r="675" spans="1:9" x14ac:dyDescent="0.25">
      <c r="A675" s="48"/>
      <c r="B675" s="49"/>
      <c r="C675" s="48"/>
      <c r="D675" s="52"/>
      <c r="E675" s="53"/>
      <c r="F675" s="56"/>
      <c r="I675" s="19"/>
    </row>
    <row r="676" spans="1:9" x14ac:dyDescent="0.25">
      <c r="A676" s="48"/>
      <c r="B676" s="49"/>
      <c r="C676" s="48"/>
      <c r="D676" s="52"/>
      <c r="E676" s="53"/>
      <c r="F676" s="56"/>
      <c r="I676" s="19"/>
    </row>
    <row r="677" spans="1:9" x14ac:dyDescent="0.25">
      <c r="A677" s="48"/>
      <c r="B677" s="49"/>
      <c r="C677" s="48"/>
      <c r="D677" s="52"/>
      <c r="E677" s="53"/>
      <c r="F677" s="56"/>
      <c r="I677" s="19"/>
    </row>
    <row r="678" spans="1:9" x14ac:dyDescent="0.25">
      <c r="A678" s="48"/>
      <c r="B678" s="49"/>
      <c r="C678" s="48"/>
      <c r="D678" s="52"/>
      <c r="E678" s="53"/>
      <c r="F678" s="56"/>
      <c r="I678" s="19"/>
    </row>
    <row r="679" spans="1:9" x14ac:dyDescent="0.25">
      <c r="A679" s="48"/>
      <c r="B679" s="49"/>
      <c r="C679" s="48"/>
      <c r="D679" s="52"/>
      <c r="E679" s="53"/>
      <c r="F679" s="56"/>
      <c r="I679" s="19"/>
    </row>
    <row r="680" spans="1:9" x14ac:dyDescent="0.25">
      <c r="A680" s="48"/>
      <c r="B680" s="49"/>
      <c r="C680" s="48"/>
      <c r="D680" s="52"/>
      <c r="E680" s="53"/>
      <c r="F680" s="56"/>
      <c r="I680" s="19"/>
    </row>
    <row r="681" spans="1:9" x14ac:dyDescent="0.25">
      <c r="A681" s="48"/>
      <c r="B681" s="49"/>
      <c r="C681" s="48"/>
      <c r="D681" s="52"/>
      <c r="E681" s="53"/>
      <c r="F681" s="56"/>
      <c r="I681" s="19"/>
    </row>
    <row r="682" spans="1:9" x14ac:dyDescent="0.25">
      <c r="A682" s="48"/>
      <c r="B682" s="49"/>
      <c r="C682" s="48"/>
      <c r="D682" s="52"/>
      <c r="E682" s="53"/>
      <c r="F682" s="56"/>
      <c r="I682" s="19"/>
    </row>
    <row r="683" spans="1:9" x14ac:dyDescent="0.25">
      <c r="A683" s="48"/>
      <c r="B683" s="49"/>
      <c r="C683" s="48"/>
      <c r="D683" s="52"/>
      <c r="E683" s="53"/>
      <c r="F683" s="56"/>
      <c r="I683" s="19"/>
    </row>
    <row r="684" spans="1:9" x14ac:dyDescent="0.25">
      <c r="A684" s="48"/>
      <c r="B684" s="49"/>
      <c r="C684" s="48"/>
      <c r="D684" s="52"/>
      <c r="E684" s="53"/>
      <c r="F684" s="56"/>
      <c r="I684" s="19"/>
    </row>
    <row r="685" spans="1:9" x14ac:dyDescent="0.25">
      <c r="A685" s="48"/>
      <c r="B685" s="49"/>
      <c r="C685" s="48"/>
      <c r="D685" s="52"/>
      <c r="E685" s="53"/>
      <c r="F685" s="56"/>
      <c r="I685" s="19"/>
    </row>
    <row r="686" spans="1:9" x14ac:dyDescent="0.25">
      <c r="A686" s="48"/>
      <c r="B686" s="49"/>
      <c r="C686" s="48"/>
      <c r="D686" s="52"/>
      <c r="E686" s="53"/>
      <c r="F686" s="56"/>
      <c r="I686" s="19"/>
    </row>
    <row r="687" spans="1:9" x14ac:dyDescent="0.25">
      <c r="A687" s="48"/>
      <c r="B687" s="49"/>
      <c r="C687" s="48"/>
      <c r="D687" s="52"/>
      <c r="E687" s="53"/>
      <c r="F687" s="56"/>
      <c r="I687" s="19"/>
    </row>
    <row r="688" spans="1:9" x14ac:dyDescent="0.25">
      <c r="A688" s="48"/>
      <c r="B688" s="49"/>
      <c r="C688" s="48"/>
      <c r="D688" s="52"/>
      <c r="E688" s="53"/>
      <c r="F688" s="56"/>
      <c r="I688" s="19"/>
    </row>
    <row r="689" spans="1:9" x14ac:dyDescent="0.25">
      <c r="A689" s="48"/>
      <c r="B689" s="49"/>
      <c r="C689" s="48"/>
      <c r="D689" s="52"/>
      <c r="E689" s="53"/>
      <c r="F689" s="56"/>
      <c r="I689" s="19"/>
    </row>
    <row r="690" spans="1:9" x14ac:dyDescent="0.25">
      <c r="A690" s="48"/>
      <c r="B690" s="49"/>
      <c r="C690" s="48"/>
      <c r="D690" s="52"/>
      <c r="E690" s="53"/>
      <c r="F690" s="56"/>
      <c r="I690" s="19"/>
    </row>
    <row r="691" spans="1:9" x14ac:dyDescent="0.25">
      <c r="A691" s="48"/>
      <c r="B691" s="49"/>
      <c r="C691" s="48"/>
      <c r="D691" s="52"/>
      <c r="E691" s="53"/>
      <c r="F691" s="56"/>
      <c r="I691" s="19"/>
    </row>
    <row r="692" spans="1:9" x14ac:dyDescent="0.25">
      <c r="A692" s="48"/>
      <c r="B692" s="49"/>
      <c r="C692" s="48"/>
      <c r="D692" s="52"/>
      <c r="E692" s="53"/>
      <c r="F692" s="56"/>
      <c r="I692" s="19"/>
    </row>
    <row r="693" spans="1:9" x14ac:dyDescent="0.25">
      <c r="A693" s="48"/>
      <c r="B693" s="49"/>
      <c r="C693" s="48"/>
      <c r="D693" s="52"/>
      <c r="E693" s="53"/>
      <c r="F693" s="56"/>
      <c r="I693" s="19"/>
    </row>
    <row r="694" spans="1:9" x14ac:dyDescent="0.25">
      <c r="A694" s="48"/>
      <c r="B694" s="49"/>
      <c r="C694" s="48"/>
      <c r="D694" s="52"/>
      <c r="E694" s="53"/>
      <c r="F694" s="56"/>
      <c r="I694" s="19"/>
    </row>
    <row r="695" spans="1:9" x14ac:dyDescent="0.25">
      <c r="A695" s="48"/>
      <c r="B695" s="49"/>
      <c r="C695" s="48"/>
      <c r="D695" s="52"/>
      <c r="E695" s="53"/>
      <c r="F695" s="56"/>
      <c r="I695" s="19"/>
    </row>
    <row r="696" spans="1:9" x14ac:dyDescent="0.25">
      <c r="A696" s="48"/>
      <c r="B696" s="49"/>
      <c r="C696" s="48"/>
      <c r="D696" s="52"/>
      <c r="E696" s="53"/>
      <c r="F696" s="56"/>
      <c r="I696" s="19"/>
    </row>
    <row r="697" spans="1:9" x14ac:dyDescent="0.25">
      <c r="A697" s="48"/>
      <c r="B697" s="49"/>
      <c r="C697" s="48"/>
      <c r="D697" s="52"/>
      <c r="E697" s="53"/>
      <c r="F697" s="56"/>
      <c r="I697" s="19"/>
    </row>
    <row r="698" spans="1:9" x14ac:dyDescent="0.25">
      <c r="A698" s="48"/>
      <c r="B698" s="49"/>
      <c r="C698" s="48"/>
      <c r="D698" s="52"/>
      <c r="E698" s="53"/>
      <c r="F698" s="56"/>
      <c r="I698" s="19"/>
    </row>
    <row r="699" spans="1:9" x14ac:dyDescent="0.25">
      <c r="A699" s="48"/>
      <c r="B699" s="49"/>
      <c r="C699" s="48"/>
      <c r="D699" s="52"/>
      <c r="E699" s="53"/>
      <c r="F699" s="56"/>
      <c r="I699" s="19"/>
    </row>
    <row r="700" spans="1:9" x14ac:dyDescent="0.25">
      <c r="A700" s="48"/>
      <c r="B700" s="49"/>
      <c r="C700" s="48"/>
      <c r="D700" s="52"/>
      <c r="E700" s="53"/>
      <c r="F700" s="56"/>
      <c r="I700" s="19"/>
    </row>
    <row r="701" spans="1:9" x14ac:dyDescent="0.25">
      <c r="A701" s="48"/>
      <c r="B701" s="49"/>
      <c r="C701" s="48"/>
      <c r="D701" s="52"/>
      <c r="E701" s="53"/>
      <c r="F701" s="56"/>
      <c r="I701" s="19"/>
    </row>
    <row r="702" spans="1:9" x14ac:dyDescent="0.25">
      <c r="A702" s="48"/>
      <c r="B702" s="49"/>
      <c r="C702" s="48"/>
      <c r="D702" s="52"/>
      <c r="E702" s="53"/>
      <c r="F702" s="56"/>
      <c r="I702" s="19"/>
    </row>
    <row r="703" spans="1:9" x14ac:dyDescent="0.25">
      <c r="A703" s="48"/>
      <c r="B703" s="49"/>
      <c r="C703" s="48"/>
      <c r="D703" s="52"/>
      <c r="E703" s="53"/>
      <c r="F703" s="56"/>
      <c r="I703" s="19"/>
    </row>
    <row r="704" spans="1:9" x14ac:dyDescent="0.25">
      <c r="A704" s="48"/>
      <c r="B704" s="49"/>
      <c r="C704" s="48"/>
      <c r="D704" s="52"/>
      <c r="E704" s="53"/>
      <c r="F704" s="56"/>
      <c r="I704" s="19"/>
    </row>
    <row r="705" spans="1:9" x14ac:dyDescent="0.25">
      <c r="A705" s="48"/>
      <c r="B705" s="49"/>
      <c r="C705" s="48"/>
      <c r="D705" s="52"/>
      <c r="E705" s="53"/>
      <c r="F705" s="56"/>
      <c r="I705" s="19"/>
    </row>
    <row r="706" spans="1:9" x14ac:dyDescent="0.25">
      <c r="A706" s="48"/>
      <c r="B706" s="49"/>
      <c r="C706" s="48"/>
      <c r="D706" s="52"/>
      <c r="E706" s="53"/>
      <c r="F706" s="56"/>
      <c r="I706" s="19"/>
    </row>
    <row r="707" spans="1:9" x14ac:dyDescent="0.25">
      <c r="A707" s="48"/>
      <c r="B707" s="49"/>
      <c r="C707" s="48"/>
      <c r="D707" s="52"/>
      <c r="E707" s="53"/>
      <c r="F707" s="56"/>
      <c r="I707" s="19"/>
    </row>
    <row r="708" spans="1:9" x14ac:dyDescent="0.25">
      <c r="A708" s="48"/>
      <c r="B708" s="49"/>
      <c r="C708" s="48"/>
      <c r="D708" s="52"/>
      <c r="E708" s="53"/>
      <c r="F708" s="56"/>
      <c r="I708" s="19"/>
    </row>
    <row r="709" spans="1:9" x14ac:dyDescent="0.25">
      <c r="A709" s="48"/>
      <c r="B709" s="49"/>
      <c r="C709" s="48"/>
      <c r="D709" s="52"/>
      <c r="E709" s="53"/>
      <c r="F709" s="56"/>
      <c r="I709" s="19"/>
    </row>
    <row r="710" spans="1:9" x14ac:dyDescent="0.25">
      <c r="A710" s="48"/>
      <c r="B710" s="49"/>
      <c r="C710" s="48"/>
      <c r="D710" s="52"/>
      <c r="E710" s="53"/>
      <c r="F710" s="56"/>
      <c r="I710" s="19"/>
    </row>
    <row r="711" spans="1:9" x14ac:dyDescent="0.25">
      <c r="A711" s="48"/>
      <c r="B711" s="49"/>
      <c r="C711" s="48"/>
      <c r="D711" s="52"/>
      <c r="E711" s="53"/>
      <c r="F711" s="56"/>
      <c r="I711" s="19"/>
    </row>
    <row r="712" spans="1:9" x14ac:dyDescent="0.25">
      <c r="A712" s="48"/>
      <c r="B712" s="49"/>
      <c r="C712" s="48"/>
      <c r="D712" s="52"/>
      <c r="E712" s="53"/>
      <c r="F712" s="56"/>
      <c r="I712" s="19"/>
    </row>
    <row r="713" spans="1:9" x14ac:dyDescent="0.25">
      <c r="A713" s="48"/>
      <c r="B713" s="49"/>
      <c r="C713" s="48"/>
      <c r="D713" s="52"/>
      <c r="E713" s="53"/>
      <c r="F713" s="56"/>
      <c r="I713" s="19"/>
    </row>
    <row r="714" spans="1:9" x14ac:dyDescent="0.25">
      <c r="A714" s="48"/>
      <c r="B714" s="49"/>
      <c r="C714" s="48"/>
      <c r="D714" s="52"/>
      <c r="E714" s="53"/>
      <c r="F714" s="56"/>
      <c r="I714" s="19"/>
    </row>
    <row r="715" spans="1:9" x14ac:dyDescent="0.25">
      <c r="A715" s="48"/>
      <c r="B715" s="49"/>
      <c r="C715" s="48"/>
      <c r="D715" s="52"/>
      <c r="E715" s="53"/>
      <c r="F715" s="56"/>
      <c r="I715" s="19"/>
    </row>
    <row r="716" spans="1:9" x14ac:dyDescent="0.25">
      <c r="A716" s="48"/>
      <c r="B716" s="49"/>
      <c r="C716" s="48"/>
      <c r="D716" s="52"/>
      <c r="E716" s="53"/>
      <c r="F716" s="56"/>
      <c r="I716" s="19"/>
    </row>
    <row r="717" spans="1:9" x14ac:dyDescent="0.25">
      <c r="A717" s="48"/>
      <c r="B717" s="49"/>
      <c r="C717" s="48"/>
      <c r="D717" s="52"/>
      <c r="E717" s="53"/>
      <c r="F717" s="56"/>
      <c r="I717" s="19"/>
    </row>
    <row r="718" spans="1:9" x14ac:dyDescent="0.25">
      <c r="A718" s="48"/>
      <c r="B718" s="49"/>
      <c r="C718" s="48"/>
      <c r="D718" s="52"/>
      <c r="E718" s="53"/>
      <c r="F718" s="56"/>
      <c r="I718" s="19"/>
    </row>
    <row r="719" spans="1:9" x14ac:dyDescent="0.25">
      <c r="A719" s="48"/>
      <c r="B719" s="49"/>
      <c r="C719" s="48"/>
      <c r="D719" s="52"/>
      <c r="E719" s="53"/>
      <c r="F719" s="56"/>
      <c r="I719" s="19"/>
    </row>
    <row r="720" spans="1:9" x14ac:dyDescent="0.25">
      <c r="A720" s="48"/>
      <c r="B720" s="49"/>
      <c r="C720" s="48"/>
      <c r="D720" s="52"/>
      <c r="E720" s="53"/>
      <c r="F720" s="56"/>
      <c r="I720" s="19"/>
    </row>
    <row r="721" spans="1:9" x14ac:dyDescent="0.25">
      <c r="A721" s="48"/>
      <c r="B721" s="49"/>
      <c r="C721" s="48"/>
      <c r="D721" s="52"/>
      <c r="E721" s="53"/>
      <c r="F721" s="56"/>
      <c r="I721" s="19"/>
    </row>
    <row r="722" spans="1:9" x14ac:dyDescent="0.25">
      <c r="A722" s="48"/>
      <c r="B722" s="49"/>
      <c r="C722" s="48"/>
      <c r="D722" s="52"/>
      <c r="E722" s="53"/>
      <c r="F722" s="56"/>
      <c r="I722" s="19"/>
    </row>
    <row r="723" spans="1:9" x14ac:dyDescent="0.25">
      <c r="A723" s="48"/>
      <c r="B723" s="49"/>
      <c r="C723" s="48"/>
      <c r="D723" s="52"/>
      <c r="E723" s="53"/>
      <c r="F723" s="56"/>
      <c r="I723" s="19"/>
    </row>
    <row r="724" spans="1:9" x14ac:dyDescent="0.25">
      <c r="A724" s="48"/>
      <c r="B724" s="49"/>
      <c r="C724" s="48"/>
      <c r="D724" s="52"/>
      <c r="E724" s="53"/>
      <c r="F724" s="56"/>
      <c r="I724" s="19"/>
    </row>
    <row r="725" spans="1:9" x14ac:dyDescent="0.25">
      <c r="A725" s="48"/>
      <c r="B725" s="49"/>
      <c r="C725" s="48"/>
      <c r="D725" s="52"/>
      <c r="E725" s="53"/>
      <c r="F725" s="56"/>
      <c r="I725" s="19"/>
    </row>
    <row r="726" spans="1:9" x14ac:dyDescent="0.25">
      <c r="A726" s="48"/>
      <c r="B726" s="49"/>
      <c r="C726" s="48"/>
      <c r="D726" s="52"/>
      <c r="E726" s="53"/>
      <c r="F726" s="56"/>
      <c r="I726" s="19"/>
    </row>
    <row r="727" spans="1:9" x14ac:dyDescent="0.25">
      <c r="A727" s="48"/>
      <c r="B727" s="49"/>
      <c r="C727" s="48"/>
      <c r="D727" s="52"/>
      <c r="E727" s="53"/>
      <c r="F727" s="56"/>
      <c r="I727" s="19"/>
    </row>
    <row r="728" spans="1:9" x14ac:dyDescent="0.25">
      <c r="A728" s="48"/>
      <c r="B728" s="49"/>
      <c r="C728" s="48"/>
      <c r="D728" s="52"/>
      <c r="E728" s="53"/>
      <c r="F728" s="56"/>
      <c r="I728" s="19"/>
    </row>
    <row r="729" spans="1:9" x14ac:dyDescent="0.25">
      <c r="A729" s="48"/>
      <c r="B729" s="49"/>
      <c r="C729" s="48"/>
      <c r="D729" s="52"/>
      <c r="E729" s="53"/>
      <c r="F729" s="56"/>
      <c r="I729" s="19"/>
    </row>
    <row r="730" spans="1:9" x14ac:dyDescent="0.25">
      <c r="A730" s="48"/>
      <c r="B730" s="49"/>
      <c r="C730" s="48"/>
      <c r="D730" s="52"/>
      <c r="E730" s="53"/>
      <c r="F730" s="56"/>
      <c r="I730" s="19"/>
    </row>
    <row r="731" spans="1:9" x14ac:dyDescent="0.25">
      <c r="A731" s="48"/>
      <c r="B731" s="49"/>
      <c r="C731" s="48"/>
      <c r="D731" s="52"/>
      <c r="E731" s="53"/>
      <c r="F731" s="56"/>
    </row>
    <row r="732" spans="1:9" x14ac:dyDescent="0.25">
      <c r="A732" s="48"/>
      <c r="B732" s="49"/>
      <c r="C732" s="48"/>
      <c r="D732" s="52"/>
      <c r="E732" s="53"/>
      <c r="F732" s="56"/>
    </row>
    <row r="733" spans="1:9" x14ac:dyDescent="0.25">
      <c r="A733" s="48"/>
      <c r="B733" s="49"/>
      <c r="C733" s="48"/>
      <c r="D733" s="52"/>
      <c r="E733" s="53"/>
      <c r="F733" s="56"/>
    </row>
    <row r="734" spans="1:9" x14ac:dyDescent="0.25">
      <c r="A734" s="48"/>
      <c r="B734" s="51">
        <v>12</v>
      </c>
      <c r="C734" s="48"/>
      <c r="D734" s="52"/>
      <c r="E734" s="55">
        <f>N513</f>
        <v>0</v>
      </c>
      <c r="F734" s="56"/>
    </row>
  </sheetData>
  <autoFilter ref="A1:F734" xr:uid="{00000000-0009-0000-0000-000000000000}">
    <sortState xmlns:xlrd2="http://schemas.microsoft.com/office/spreadsheetml/2017/richdata2" ref="A4:F734">
      <sortCondition ref="A1:A734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3" r:id="rId8" xr:uid="{E1906014-F24D-42F6-B5BD-5BF6567777B0}"/>
    <hyperlink ref="F251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40" r:id="rId96" xr:uid="{965DC3FC-7483-43A0-8519-B6B1CFE9540A}"/>
    <hyperlink ref="F241" r:id="rId97" xr:uid="{A37E6543-1D3E-4781-AB91-22511575D05B}"/>
    <hyperlink ref="F242" r:id="rId98" xr:uid="{5FFC4DAB-F374-41E9-8B47-2EF464C2C536}"/>
    <hyperlink ref="F244" r:id="rId99" xr:uid="{21768D99-C089-4DC1-A53E-266E758687C5}"/>
    <hyperlink ref="F245" r:id="rId100" xr:uid="{12D9319F-5A87-4ACB-8631-89B7EB5B7871}"/>
    <hyperlink ref="F247" r:id="rId101" xr:uid="{3D734675-475D-49CB-AC3A-1AA184658D00}"/>
    <hyperlink ref="F248" r:id="rId102" xr:uid="{601F76B0-2BDD-4217-83A4-E1D708C84C54}"/>
    <hyperlink ref="F249" r:id="rId103" xr:uid="{0A1BA194-5A1D-4A17-AE7B-F1DBD179498A}"/>
    <hyperlink ref="F252" r:id="rId104" xr:uid="{8A58FF55-8B70-4BE0-A7D2-84512CFF69EB}"/>
    <hyperlink ref="F257" r:id="rId105" xr:uid="{565102C8-B4B3-4CA9-A13D-AA08F0B1F501}"/>
    <hyperlink ref="F260" r:id="rId106" xr:uid="{888081FC-B79F-4537-A612-589B4AA24A5F}"/>
    <hyperlink ref="F264" r:id="rId107" xr:uid="{B89A7894-A653-457E-B297-66EEF7E78CCD}"/>
    <hyperlink ref="F265" r:id="rId108" xr:uid="{C1F38060-8982-4B83-89B9-3ACB71AAE7E9}"/>
    <hyperlink ref="F266" r:id="rId109" xr:uid="{90A2D3D4-11E9-4E70-9F26-57374F26E828}"/>
    <hyperlink ref="F267" r:id="rId110" xr:uid="{CE2AC91D-F72D-498F-8D0D-E22DF8700BFD}"/>
    <hyperlink ref="F268" r:id="rId111" xr:uid="{E35AF51A-834D-4EFC-823F-4026E999DF7A}"/>
    <hyperlink ref="F269" r:id="rId112" xr:uid="{558DB0B2-17D5-4A39-AAB8-814B18D28642}"/>
    <hyperlink ref="F273" r:id="rId113" xr:uid="{A613562F-CFC5-4214-AF12-2CFDD342953A}"/>
    <hyperlink ref="F274" r:id="rId114" xr:uid="{CBD79827-526D-4DFF-97E6-5306C293752C}"/>
    <hyperlink ref="F277" r:id="rId115" xr:uid="{09E53517-D130-471F-B71B-653DFA8A8955}"/>
    <hyperlink ref="F276" r:id="rId116" xr:uid="{30A1C381-1EDC-4BFC-804E-FBB45AC51FEF}"/>
    <hyperlink ref="F278" r:id="rId117" xr:uid="{A26AA755-950A-4B52-9312-83FA946F9EA2}"/>
    <hyperlink ref="F280" r:id="rId118" xr:uid="{05C39E49-F52C-40AB-B184-32A8BEA8FA7A}"/>
    <hyperlink ref="F286" r:id="rId119" xr:uid="{6FCC01F3-1F01-4694-8770-C3C00E5E496C}"/>
    <hyperlink ref="F288" r:id="rId120" xr:uid="{ACDA379B-D785-41F9-A567-FACF7027F155}"/>
    <hyperlink ref="F289" r:id="rId121" xr:uid="{55184FCA-C9E5-4C87-B518-47BB97CC674F}"/>
    <hyperlink ref="F292" r:id="rId122" xr:uid="{183A293E-7539-47D2-9CDE-B3563DB11191}"/>
    <hyperlink ref="F293" r:id="rId123" xr:uid="{A37CFD74-5F70-453B-9C1A-31C32E66D91A}"/>
    <hyperlink ref="F294" r:id="rId124" xr:uid="{1A424E49-407B-4819-9BAE-BD7020E136C8}"/>
    <hyperlink ref="F295" r:id="rId125" xr:uid="{16772841-91B4-4063-B41A-59B960FDEFC4}"/>
    <hyperlink ref="F296" r:id="rId126" xr:uid="{F8E811E4-C56E-4020-8515-CA14E5BC6E3C}"/>
    <hyperlink ref="F299" r:id="rId127" xr:uid="{8169F733-8E2D-4AC1-9A4F-A49A54D41A52}"/>
    <hyperlink ref="F302" r:id="rId128" xr:uid="{0CE762D6-744B-40A7-8F98-8AF1053C4C20}"/>
    <hyperlink ref="F303" r:id="rId129" xr:uid="{7A40BCF1-3293-4CA7-9013-B050AE19741A}"/>
    <hyperlink ref="F306" r:id="rId130" xr:uid="{091067F1-8D60-40C3-B79B-EDA05B5A7DA4}"/>
    <hyperlink ref="F307" r:id="rId131" xr:uid="{AC3C0A2F-C850-4DC8-B816-62B521573541}"/>
    <hyperlink ref="F308" r:id="rId132" xr:uid="{BD4C4423-9801-48B9-BE4A-6FA8B9B411A4}"/>
    <hyperlink ref="F309" r:id="rId133" xr:uid="{03558391-13D5-417E-8518-5A118844CD95}"/>
    <hyperlink ref="F312" r:id="rId134" xr:uid="{2005E731-59D7-4620-B28C-434266F6022D}"/>
    <hyperlink ref="F313" r:id="rId135" xr:uid="{2FD5242C-CF0A-4A63-816A-EA2A83984E64}"/>
    <hyperlink ref="F314" r:id="rId136" xr:uid="{3123CD08-C684-4CC9-AB12-F9105EA97288}"/>
    <hyperlink ref="F315" r:id="rId137" xr:uid="{2213C59C-4A61-40A9-A06B-1FEF17A027B0}"/>
    <hyperlink ref="F316" r:id="rId138" xr:uid="{68B28FC2-AA1F-41B6-9A23-516E9B83B6E0}"/>
    <hyperlink ref="F318" r:id="rId139" xr:uid="{B5599032-4454-4E2C-A68F-8CFFE50F4FDA}"/>
    <hyperlink ref="F319" r:id="rId140" xr:uid="{A0B5737A-A70A-4218-B2E1-A76C8720DB56}"/>
    <hyperlink ref="F320" r:id="rId141" xr:uid="{D4B5840E-77B4-47E2-8436-CD2E572AF2B8}"/>
    <hyperlink ref="F321" r:id="rId142" xr:uid="{BD67BD55-40E9-45BF-A3F6-8F5115DDB229}"/>
    <hyperlink ref="F322" r:id="rId143" xr:uid="{006FB328-F8E9-4758-AE01-3843E2E75398}"/>
    <hyperlink ref="F324" r:id="rId144" xr:uid="{D8274070-5E6A-448F-BE2B-E62287C27B7F}"/>
    <hyperlink ref="F325" r:id="rId145" xr:uid="{3107A474-1B13-410C-98D5-4BDFF1B318A0}"/>
    <hyperlink ref="F329" r:id="rId146" xr:uid="{AEE59407-C7BF-4741-8788-B6DE8B5B56F0}"/>
    <hyperlink ref="F331" r:id="rId147" xr:uid="{9E43F2AF-CA8D-45AD-8AF2-43E79516D8C4}"/>
    <hyperlink ref="F334" r:id="rId148" xr:uid="{527DB674-2191-4390-A5E3-AF104DB8B4DD}"/>
    <hyperlink ref="F339" r:id="rId149" xr:uid="{6CBC3A1F-EFB9-4C79-8568-CA7B9F4AE2C5}"/>
    <hyperlink ref="F349" r:id="rId150" xr:uid="{15A14E1E-9440-4524-8E71-E2F0B928B953}"/>
    <hyperlink ref="F351" r:id="rId151" xr:uid="{C92EA61B-8F06-42A1-A7F9-7F45453FF60F}"/>
    <hyperlink ref="F355" r:id="rId152" xr:uid="{8A245E57-176A-4426-987A-230A824E21F5}"/>
    <hyperlink ref="F362" r:id="rId153" xr:uid="{E66A3719-554E-4E28-86A4-324883D73CAE}"/>
    <hyperlink ref="F366" r:id="rId154" xr:uid="{7BDE2C38-EC1A-4C17-B1C6-1E4D17FC0EE5}"/>
    <hyperlink ref="F367" r:id="rId155" xr:uid="{00F24AF7-BECF-42F0-AB31-2C0DED0C37A2}"/>
    <hyperlink ref="F368" r:id="rId156" xr:uid="{5852A063-4D20-4FBB-B346-BF786AFC86EC}"/>
    <hyperlink ref="F369" r:id="rId157" xr:uid="{B67214DC-0A47-4AD1-BF86-5DC069815DE1}"/>
    <hyperlink ref="F374" r:id="rId158" xr:uid="{8299AD99-FFD7-4B97-A788-030B31407DDD}"/>
    <hyperlink ref="F376" r:id="rId159" xr:uid="{78971510-8CDC-4BF5-AE19-0D07D647D047}"/>
    <hyperlink ref="F378" r:id="rId160" xr:uid="{A0C94A52-B22E-4392-9DAE-3EA37FFA5A46}"/>
    <hyperlink ref="F379" r:id="rId161" xr:uid="{3B87B23F-40F6-462E-9110-A5A9A19D2232}"/>
    <hyperlink ref="F380" r:id="rId162" xr:uid="{292120C3-4914-44B9-9098-59807C6E7C6C}"/>
    <hyperlink ref="F381" r:id="rId163" xr:uid="{5B5091B4-FEAA-4CAD-8FAF-43B120B259B8}"/>
    <hyperlink ref="F382" r:id="rId164" xr:uid="{B4A8D738-F438-4B79-8C25-2D43D085BC71}"/>
    <hyperlink ref="F383" r:id="rId165" xr:uid="{9C2371F9-4C06-48FC-AD5B-9E5916618520}"/>
    <hyperlink ref="F389" r:id="rId166" xr:uid="{2C42E22B-0DD1-40FA-8493-10406BA7A1D9}"/>
    <hyperlink ref="F390" r:id="rId167" xr:uid="{70286227-A588-43E1-91FC-1EB348F42574}"/>
    <hyperlink ref="F392" r:id="rId168" xr:uid="{D1A39FB3-D165-4B56-88B9-CFB02C80378B}"/>
    <hyperlink ref="F396" r:id="rId169" xr:uid="{86B3426F-8CFE-45AB-9DE6-873C49E7DB80}"/>
    <hyperlink ref="F397" r:id="rId170" xr:uid="{6F07A94A-75BF-4D0C-A155-1F147D55686D}"/>
    <hyperlink ref="F398" r:id="rId171" xr:uid="{925770DF-4D55-4F2C-B57F-546C6CF49F83}"/>
    <hyperlink ref="F402" r:id="rId172" xr:uid="{86833F34-D3B8-49A2-B048-9143D1D268E1}"/>
    <hyperlink ref="F403" r:id="rId173" xr:uid="{DC475E94-CED6-4041-A19D-421EDEC91083}"/>
    <hyperlink ref="F404" r:id="rId174" xr:uid="{8CE58332-34FE-45F0-B53E-D28E50ECC3F5}"/>
    <hyperlink ref="F405" r:id="rId175" xr:uid="{DD0386C7-D589-4779-A82D-1F72C4B6FBDD}"/>
    <hyperlink ref="F406" r:id="rId176" xr:uid="{BC460B10-00B8-4916-B3EF-7D1ED959A78B}"/>
    <hyperlink ref="F407" r:id="rId177" xr:uid="{40729791-C768-4D88-821E-9253252FB0F3}"/>
    <hyperlink ref="F410" r:id="rId178" xr:uid="{BCA7C023-C424-401D-88B3-107FB2ACBF81}"/>
    <hyperlink ref="F415" r:id="rId179" xr:uid="{43A41B2A-DEFE-495E-997D-ED085CF2FC91}"/>
    <hyperlink ref="F416" r:id="rId180" xr:uid="{B12F044C-CB46-4CCB-89F1-EB0C8F7EB892}"/>
    <hyperlink ref="F422" r:id="rId181" xr:uid="{28D016CB-3B77-415C-8166-D13FE68341D1}"/>
    <hyperlink ref="F423" r:id="rId182" xr:uid="{CD429C9A-749F-491E-9E58-B9CB7A90A2FB}"/>
    <hyperlink ref="F428" r:id="rId183" xr:uid="{5CC5C5A2-EE60-4284-8128-2E87C488D632}"/>
    <hyperlink ref="F431" r:id="rId184" xr:uid="{C2BD70BB-F593-4AF0-B6A4-B32D5304C625}"/>
    <hyperlink ref="F435" r:id="rId185" xr:uid="{F6E6F0EA-9817-4AA3-BC4A-B1ED8E6931ED}"/>
    <hyperlink ref="F438" r:id="rId186" xr:uid="{5EB5671F-FF63-475A-9238-21AD45B4C5EE}"/>
    <hyperlink ref="F441" r:id="rId187" xr:uid="{B97349D3-8379-49CF-AB1C-503D2A28FCDC}"/>
    <hyperlink ref="F448" r:id="rId188" xr:uid="{DCBAF156-741D-4CDD-A1BB-BEE3DCAFC7E4}"/>
    <hyperlink ref="F455" r:id="rId189" xr:uid="{8B8F94DD-ABB2-4320-920C-216E8ECE661F}"/>
    <hyperlink ref="F340" r:id="rId190" xr:uid="{A1876CDA-D2D9-4ACE-9E52-75F2A87E4D4F}"/>
    <hyperlink ref="F459" r:id="rId191" xr:uid="{21AFB719-500D-49EA-9A94-E1F0F8DEAF1D}"/>
    <hyperlink ref="F462" r:id="rId192" xr:uid="{9FB30793-74F5-4EE1-997B-A29276854B0F}"/>
    <hyperlink ref="F463" r:id="rId193" xr:uid="{F7D721C1-6EE7-431C-825B-C14B050040BE}"/>
    <hyperlink ref="F464" r:id="rId194" xr:uid="{E82C3262-E183-4FD0-A624-6B9CBBA13E22}"/>
    <hyperlink ref="F467" r:id="rId195" xr:uid="{2F3A224E-996D-44F2-BB99-EC5746F0E81D}"/>
    <hyperlink ref="F470" r:id="rId196" xr:uid="{66281EB3-1C84-4327-8A41-AC8CB05AAABD}"/>
    <hyperlink ref="F472" r:id="rId197" xr:uid="{E3C74E77-C496-4510-8806-2D2606716F78}"/>
    <hyperlink ref="F474" r:id="rId198" xr:uid="{9BE712DE-053D-4691-8A07-B0D3C3304A32}"/>
    <hyperlink ref="F475" r:id="rId199" xr:uid="{97572BBD-E6D2-4CFC-B983-6629083AAA30}"/>
    <hyperlink ref="F480" r:id="rId200" xr:uid="{F9FBA57F-7D2B-4679-A566-A492ECEF9035}"/>
    <hyperlink ref="F484" r:id="rId201" xr:uid="{5942006B-880C-4C23-9ED8-EE6DF160CAFC}"/>
    <hyperlink ref="F485" r:id="rId202" xr:uid="{93B54EDE-1866-4706-A5FE-E39688316329}"/>
    <hyperlink ref="F491" r:id="rId203" xr:uid="{D1F916D6-B062-4FD4-9C02-9546DAF97B5D}"/>
    <hyperlink ref="F499" r:id="rId204" xr:uid="{82BB8238-8B3C-44CF-B8DB-8B220659D0F1}"/>
    <hyperlink ref="F502" r:id="rId205" xr:uid="{BC41CEBA-AAE5-49A0-8216-3B4403811C0B}"/>
    <hyperlink ref="F506" r:id="rId206" xr:uid="{3ED9D9C9-88BD-4D38-8C17-2147C43DCA41}"/>
    <hyperlink ref="F507" r:id="rId207" xr:uid="{8EE4BBCE-100C-422D-A8AE-E1855B7531DD}"/>
    <hyperlink ref="F508" r:id="rId208" xr:uid="{7393F241-1EE0-4975-B705-3BB32A866045}"/>
    <hyperlink ref="F450" r:id="rId209" xr:uid="{80AE22F1-0F21-450E-BE5A-444AA127014C}"/>
    <hyperlink ref="F45" r:id="rId210" xr:uid="{9166A086-6452-4A3C-AEE1-EA61B6F0040C}"/>
    <hyperlink ref="F63" r:id="rId211" xr:uid="{C3D2727A-54A4-4ABC-BE29-C663282CB00F}"/>
    <hyperlink ref="F65" r:id="rId212" xr:uid="{290EDB11-A937-4642-B4C4-762CABC87A86}"/>
    <hyperlink ref="F92" r:id="rId213" xr:uid="{7BD3346D-C133-4F85-BA8B-06E893A5AA15}"/>
    <hyperlink ref="F236" r:id="rId214" xr:uid="{A89FDFBB-71B2-4738-9E20-379D288195B3}"/>
    <hyperlink ref="F237" r:id="rId215" xr:uid="{71BBAFA0-9838-4AE0-B1A3-8148C5047B22}"/>
    <hyperlink ref="F430" r:id="rId216" xr:uid="{CE9B73F7-6206-43BE-A0D7-238A375EF8C2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7"/>
  <headerFooter>
    <oddHeader xml:space="preserve">&amp;C&amp;8EC_Not_technical&amp;8
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2026-09-28T17:48:29Z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