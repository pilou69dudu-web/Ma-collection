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PHILIPPE\Desktop\Sauvegarde vinyles\"/>
    </mc:Choice>
  </mc:AlternateContent>
  <xr:revisionPtr revIDLastSave="0" documentId="13_ncr:1_{B824E557-0D37-40E6-8414-D00275322385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Feuil1" sheetId="1" r:id="rId1"/>
    <sheet name="Feuil2" sheetId="2" r:id="rId2"/>
  </sheets>
  <definedNames>
    <definedName name="_xlnm._FilterDatabase" localSheetId="0" hidden="1">Feuil1!$A$1:$F$734</definedName>
  </definedNames>
  <calcPr calcId="191029" iterate="1" iterateCount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03" i="1" l="1"/>
  <c r="I303" i="1"/>
  <c r="M303" i="1"/>
  <c r="N303" i="1"/>
  <c r="G236" i="1"/>
  <c r="I236" i="1"/>
  <c r="G237" i="1"/>
  <c r="I237" i="1"/>
  <c r="I45" i="1"/>
  <c r="I245" i="1"/>
  <c r="I128" i="1"/>
  <c r="I129" i="1"/>
  <c r="I130" i="1"/>
  <c r="I131" i="1"/>
  <c r="I132" i="1"/>
  <c r="I133" i="1"/>
  <c r="I134" i="1"/>
  <c r="I135" i="1"/>
  <c r="I136" i="1"/>
  <c r="G54" i="1"/>
  <c r="I53" i="1"/>
  <c r="I54" i="1"/>
  <c r="G245" i="1"/>
  <c r="G136" i="1"/>
  <c r="G53" i="1" l="1"/>
  <c r="G128" i="1"/>
  <c r="G4" i="1"/>
  <c r="I4" i="1"/>
  <c r="G5" i="1"/>
  <c r="I5" i="1"/>
  <c r="G6" i="1"/>
  <c r="I6" i="1"/>
  <c r="G7" i="1"/>
  <c r="I7" i="1"/>
  <c r="G8" i="1"/>
  <c r="I8" i="1"/>
  <c r="G9" i="1"/>
  <c r="I9" i="1"/>
  <c r="G10" i="1"/>
  <c r="I10" i="1"/>
  <c r="G11" i="1"/>
  <c r="I11" i="1"/>
  <c r="G12" i="1"/>
  <c r="I12" i="1"/>
  <c r="G13" i="1"/>
  <c r="I13" i="1"/>
  <c r="G14" i="1"/>
  <c r="I14" i="1"/>
  <c r="G15" i="1"/>
  <c r="I15" i="1"/>
  <c r="G16" i="1"/>
  <c r="I16" i="1"/>
  <c r="G17" i="1"/>
  <c r="I17" i="1"/>
  <c r="G18" i="1"/>
  <c r="I18" i="1"/>
  <c r="G19" i="1"/>
  <c r="I19" i="1"/>
  <c r="G20" i="1"/>
  <c r="I20" i="1"/>
  <c r="G21" i="1"/>
  <c r="I21" i="1"/>
  <c r="G22" i="1"/>
  <c r="I22" i="1"/>
  <c r="G23" i="1"/>
  <c r="I23" i="1"/>
  <c r="G24" i="1"/>
  <c r="I24" i="1"/>
  <c r="G25" i="1"/>
  <c r="I25" i="1"/>
  <c r="G26" i="1"/>
  <c r="I26" i="1"/>
  <c r="G27" i="1"/>
  <c r="I27" i="1"/>
  <c r="G28" i="1"/>
  <c r="I28" i="1"/>
  <c r="G29" i="1"/>
  <c r="I29" i="1"/>
  <c r="G30" i="1"/>
  <c r="I30" i="1"/>
  <c r="G31" i="1"/>
  <c r="I31" i="1"/>
  <c r="G32" i="1"/>
  <c r="I32" i="1"/>
  <c r="G33" i="1"/>
  <c r="I33" i="1"/>
  <c r="G34" i="1"/>
  <c r="I34" i="1"/>
  <c r="G35" i="1"/>
  <c r="I35" i="1"/>
  <c r="G36" i="1"/>
  <c r="I36" i="1"/>
  <c r="G37" i="1"/>
  <c r="I37" i="1"/>
  <c r="G38" i="1"/>
  <c r="I38" i="1"/>
  <c r="G39" i="1"/>
  <c r="I39" i="1"/>
  <c r="G40" i="1"/>
  <c r="I40" i="1"/>
  <c r="G41" i="1"/>
  <c r="I41" i="1"/>
  <c r="G42" i="1"/>
  <c r="I42" i="1"/>
  <c r="G43" i="1"/>
  <c r="I43" i="1"/>
  <c r="G44" i="1"/>
  <c r="I44" i="1"/>
  <c r="G45" i="1"/>
  <c r="G46" i="1"/>
  <c r="I46" i="1"/>
  <c r="G47" i="1"/>
  <c r="I47" i="1"/>
  <c r="G48" i="1"/>
  <c r="I48" i="1"/>
  <c r="G49" i="1"/>
  <c r="I49" i="1"/>
  <c r="G50" i="1"/>
  <c r="I50" i="1"/>
  <c r="G51" i="1"/>
  <c r="I51" i="1"/>
  <c r="G52" i="1"/>
  <c r="I52" i="1"/>
  <c r="G55" i="1"/>
  <c r="I55" i="1"/>
  <c r="G56" i="1"/>
  <c r="I56" i="1"/>
  <c r="G57" i="1"/>
  <c r="I57" i="1"/>
  <c r="G58" i="1"/>
  <c r="I58" i="1"/>
  <c r="G59" i="1"/>
  <c r="I59" i="1"/>
  <c r="G60" i="1"/>
  <c r="I60" i="1"/>
  <c r="G61" i="1"/>
  <c r="I61" i="1"/>
  <c r="G62" i="1"/>
  <c r="I62" i="1"/>
  <c r="G63" i="1"/>
  <c r="I63" i="1"/>
  <c r="G64" i="1"/>
  <c r="I64" i="1"/>
  <c r="G65" i="1"/>
  <c r="I65" i="1"/>
  <c r="G66" i="1"/>
  <c r="I66" i="1"/>
  <c r="G67" i="1"/>
  <c r="I67" i="1"/>
  <c r="G68" i="1"/>
  <c r="I68" i="1"/>
  <c r="G69" i="1"/>
  <c r="I69" i="1"/>
  <c r="G70" i="1"/>
  <c r="I70" i="1"/>
  <c r="G71" i="1"/>
  <c r="I71" i="1"/>
  <c r="G72" i="1"/>
  <c r="I72" i="1"/>
  <c r="G73" i="1"/>
  <c r="I73" i="1"/>
  <c r="G74" i="1"/>
  <c r="I74" i="1"/>
  <c r="G75" i="1"/>
  <c r="I75" i="1"/>
  <c r="G76" i="1"/>
  <c r="I76" i="1"/>
  <c r="G77" i="1"/>
  <c r="I77" i="1"/>
  <c r="G78" i="1"/>
  <c r="I78" i="1"/>
  <c r="G79" i="1"/>
  <c r="I79" i="1"/>
  <c r="G80" i="1"/>
  <c r="I80" i="1"/>
  <c r="G81" i="1"/>
  <c r="I81" i="1"/>
  <c r="G82" i="1"/>
  <c r="I82" i="1"/>
  <c r="G83" i="1"/>
  <c r="I83" i="1"/>
  <c r="G84" i="1"/>
  <c r="I84" i="1"/>
  <c r="G85" i="1"/>
  <c r="I85" i="1"/>
  <c r="G86" i="1"/>
  <c r="I86" i="1"/>
  <c r="G87" i="1"/>
  <c r="I87" i="1"/>
  <c r="G88" i="1"/>
  <c r="I88" i="1"/>
  <c r="G89" i="1"/>
  <c r="I89" i="1"/>
  <c r="G90" i="1"/>
  <c r="I90" i="1"/>
  <c r="G91" i="1"/>
  <c r="I91" i="1"/>
  <c r="G92" i="1"/>
  <c r="I92" i="1"/>
  <c r="G93" i="1"/>
  <c r="I93" i="1"/>
  <c r="G94" i="1"/>
  <c r="I94" i="1"/>
  <c r="G95" i="1"/>
  <c r="I95" i="1"/>
  <c r="G96" i="1"/>
  <c r="I96" i="1"/>
  <c r="G97" i="1"/>
  <c r="I97" i="1"/>
  <c r="G98" i="1"/>
  <c r="I98" i="1"/>
  <c r="G99" i="1"/>
  <c r="I99" i="1"/>
  <c r="G100" i="1"/>
  <c r="I100" i="1"/>
  <c r="G101" i="1"/>
  <c r="I101" i="1"/>
  <c r="G102" i="1"/>
  <c r="I102" i="1"/>
  <c r="G103" i="1"/>
  <c r="I103" i="1"/>
  <c r="G104" i="1"/>
  <c r="I104" i="1"/>
  <c r="G105" i="1"/>
  <c r="I105" i="1"/>
  <c r="G106" i="1"/>
  <c r="I106" i="1"/>
  <c r="G107" i="1"/>
  <c r="I107" i="1"/>
  <c r="G108" i="1"/>
  <c r="I108" i="1"/>
  <c r="G109" i="1"/>
  <c r="I109" i="1"/>
  <c r="G110" i="1"/>
  <c r="I110" i="1"/>
  <c r="G111" i="1"/>
  <c r="I111" i="1"/>
  <c r="G112" i="1"/>
  <c r="I112" i="1"/>
  <c r="G113" i="1"/>
  <c r="I113" i="1"/>
  <c r="G114" i="1"/>
  <c r="I114" i="1"/>
  <c r="G115" i="1"/>
  <c r="I115" i="1"/>
  <c r="G116" i="1"/>
  <c r="I116" i="1"/>
  <c r="G117" i="1"/>
  <c r="I117" i="1"/>
  <c r="G118" i="1"/>
  <c r="I118" i="1"/>
  <c r="G119" i="1"/>
  <c r="I119" i="1"/>
  <c r="G120" i="1"/>
  <c r="I120" i="1"/>
  <c r="G121" i="1"/>
  <c r="I121" i="1"/>
  <c r="G122" i="1"/>
  <c r="I122" i="1"/>
  <c r="G123" i="1"/>
  <c r="I123" i="1"/>
  <c r="G124" i="1"/>
  <c r="I124" i="1"/>
  <c r="G125" i="1"/>
  <c r="I125" i="1"/>
  <c r="G126" i="1"/>
  <c r="I126" i="1"/>
  <c r="G127" i="1"/>
  <c r="I127" i="1"/>
  <c r="G129" i="1"/>
  <c r="G130" i="1"/>
  <c r="G131" i="1"/>
  <c r="G132" i="1"/>
  <c r="G133" i="1"/>
  <c r="G134" i="1"/>
  <c r="G135" i="1"/>
  <c r="G137" i="1"/>
  <c r="I137" i="1"/>
  <c r="G138" i="1"/>
  <c r="I138" i="1"/>
  <c r="G139" i="1"/>
  <c r="I139" i="1"/>
  <c r="G140" i="1"/>
  <c r="I140" i="1"/>
  <c r="G141" i="1"/>
  <c r="I141" i="1"/>
  <c r="G142" i="1"/>
  <c r="I142" i="1"/>
  <c r="G143" i="1"/>
  <c r="I143" i="1"/>
  <c r="G144" i="1"/>
  <c r="I144" i="1"/>
  <c r="G145" i="1"/>
  <c r="I145" i="1"/>
  <c r="G146" i="1"/>
  <c r="I146" i="1"/>
  <c r="G147" i="1"/>
  <c r="I147" i="1"/>
  <c r="G148" i="1"/>
  <c r="I148" i="1"/>
  <c r="G149" i="1"/>
  <c r="I149" i="1"/>
  <c r="G150" i="1"/>
  <c r="I150" i="1"/>
  <c r="G151" i="1"/>
  <c r="I151" i="1"/>
  <c r="G152" i="1"/>
  <c r="I152" i="1"/>
  <c r="G153" i="1"/>
  <c r="I153" i="1"/>
  <c r="G154" i="1"/>
  <c r="I154" i="1"/>
  <c r="G155" i="1"/>
  <c r="I155" i="1"/>
  <c r="G156" i="1"/>
  <c r="I156" i="1"/>
  <c r="G157" i="1"/>
  <c r="I157" i="1"/>
  <c r="G158" i="1"/>
  <c r="I158" i="1"/>
  <c r="G159" i="1"/>
  <c r="I159" i="1"/>
  <c r="G160" i="1"/>
  <c r="I160" i="1"/>
  <c r="G161" i="1"/>
  <c r="I161" i="1"/>
  <c r="G162" i="1"/>
  <c r="I162" i="1"/>
  <c r="G163" i="1"/>
  <c r="I163" i="1"/>
  <c r="G164" i="1"/>
  <c r="I164" i="1"/>
  <c r="G165" i="1"/>
  <c r="I165" i="1"/>
  <c r="G166" i="1"/>
  <c r="I166" i="1"/>
  <c r="G167" i="1"/>
  <c r="I167" i="1"/>
  <c r="G168" i="1"/>
  <c r="I168" i="1"/>
  <c r="G169" i="1"/>
  <c r="I169" i="1"/>
  <c r="G170" i="1"/>
  <c r="I170" i="1"/>
  <c r="G171" i="1"/>
  <c r="I171" i="1"/>
  <c r="G172" i="1"/>
  <c r="I172" i="1"/>
  <c r="G173" i="1"/>
  <c r="I173" i="1"/>
  <c r="G174" i="1"/>
  <c r="I174" i="1"/>
  <c r="G175" i="1"/>
  <c r="I175" i="1"/>
  <c r="G176" i="1"/>
  <c r="I176" i="1"/>
  <c r="G177" i="1"/>
  <c r="I177" i="1"/>
  <c r="G178" i="1"/>
  <c r="I178" i="1"/>
  <c r="G179" i="1"/>
  <c r="I179" i="1"/>
  <c r="G180" i="1"/>
  <c r="I180" i="1"/>
  <c r="G181" i="1"/>
  <c r="I181" i="1"/>
  <c r="G182" i="1"/>
  <c r="I182" i="1"/>
  <c r="G183" i="1"/>
  <c r="I183" i="1"/>
  <c r="G184" i="1"/>
  <c r="I184" i="1"/>
  <c r="G185" i="1"/>
  <c r="I185" i="1"/>
  <c r="G186" i="1"/>
  <c r="I186" i="1"/>
  <c r="G187" i="1"/>
  <c r="I187" i="1"/>
  <c r="G188" i="1"/>
  <c r="I188" i="1"/>
  <c r="G189" i="1"/>
  <c r="I189" i="1"/>
  <c r="G190" i="1"/>
  <c r="I190" i="1"/>
  <c r="G191" i="1"/>
  <c r="I191" i="1"/>
  <c r="G192" i="1"/>
  <c r="I192" i="1"/>
  <c r="G193" i="1"/>
  <c r="I193" i="1"/>
  <c r="G194" i="1"/>
  <c r="I194" i="1"/>
  <c r="G195" i="1"/>
  <c r="I195" i="1"/>
  <c r="G196" i="1"/>
  <c r="I196" i="1"/>
  <c r="G197" i="1"/>
  <c r="I197" i="1"/>
  <c r="G198" i="1"/>
  <c r="I198" i="1"/>
  <c r="G199" i="1"/>
  <c r="I199" i="1"/>
  <c r="G200" i="1"/>
  <c r="I200" i="1"/>
  <c r="G201" i="1"/>
  <c r="I201" i="1"/>
  <c r="G202" i="1"/>
  <c r="I202" i="1"/>
  <c r="G203" i="1"/>
  <c r="I203" i="1"/>
  <c r="G204" i="1"/>
  <c r="I204" i="1"/>
  <c r="G205" i="1"/>
  <c r="I205" i="1"/>
  <c r="G206" i="1"/>
  <c r="I206" i="1"/>
  <c r="G207" i="1"/>
  <c r="I207" i="1"/>
  <c r="G208" i="1"/>
  <c r="I208" i="1"/>
  <c r="G209" i="1"/>
  <c r="I209" i="1"/>
  <c r="G210" i="1"/>
  <c r="I210" i="1"/>
  <c r="G211" i="1"/>
  <c r="I211" i="1"/>
  <c r="G212" i="1"/>
  <c r="I212" i="1"/>
  <c r="G213" i="1"/>
  <c r="I213" i="1"/>
  <c r="G214" i="1"/>
  <c r="I214" i="1"/>
  <c r="G215" i="1"/>
  <c r="I215" i="1"/>
  <c r="G216" i="1"/>
  <c r="I216" i="1"/>
  <c r="G217" i="1"/>
  <c r="I217" i="1"/>
  <c r="G218" i="1"/>
  <c r="I218" i="1"/>
  <c r="G219" i="1"/>
  <c r="I219" i="1"/>
  <c r="G220" i="1"/>
  <c r="I220" i="1"/>
  <c r="G221" i="1"/>
  <c r="I221" i="1"/>
  <c r="G222" i="1"/>
  <c r="I222" i="1"/>
  <c r="G223" i="1"/>
  <c r="I223" i="1"/>
  <c r="G224" i="1"/>
  <c r="I224" i="1"/>
  <c r="G225" i="1"/>
  <c r="I225" i="1"/>
  <c r="G226" i="1"/>
  <c r="I226" i="1"/>
  <c r="G227" i="1"/>
  <c r="I227" i="1"/>
  <c r="G228" i="1"/>
  <c r="I228" i="1"/>
  <c r="G229" i="1"/>
  <c r="I229" i="1"/>
  <c r="G230" i="1"/>
  <c r="I230" i="1"/>
  <c r="G231" i="1"/>
  <c r="I231" i="1"/>
  <c r="G232" i="1"/>
  <c r="I232" i="1"/>
  <c r="G233" i="1"/>
  <c r="I233" i="1"/>
  <c r="G234" i="1"/>
  <c r="I234" i="1"/>
  <c r="G235" i="1"/>
  <c r="I235" i="1"/>
  <c r="G238" i="1"/>
  <c r="I238" i="1"/>
  <c r="G239" i="1"/>
  <c r="I239" i="1"/>
  <c r="G240" i="1"/>
  <c r="I240" i="1"/>
  <c r="G241" i="1"/>
  <c r="I241" i="1"/>
  <c r="G242" i="1"/>
  <c r="I242" i="1"/>
  <c r="G243" i="1"/>
  <c r="I243" i="1"/>
  <c r="G244" i="1"/>
  <c r="I244" i="1"/>
  <c r="G246" i="1"/>
  <c r="I246" i="1"/>
  <c r="G247" i="1"/>
  <c r="I247" i="1"/>
  <c r="G248" i="1"/>
  <c r="I248" i="1"/>
  <c r="G249" i="1"/>
  <c r="I249" i="1"/>
  <c r="G250" i="1"/>
  <c r="I250" i="1"/>
  <c r="G251" i="1"/>
  <c r="I251" i="1"/>
  <c r="G252" i="1"/>
  <c r="I252" i="1"/>
  <c r="G253" i="1"/>
  <c r="I253" i="1"/>
  <c r="G254" i="1"/>
  <c r="I254" i="1"/>
  <c r="G255" i="1"/>
  <c r="I255" i="1"/>
  <c r="G256" i="1"/>
  <c r="I256" i="1"/>
  <c r="G257" i="1"/>
  <c r="I257" i="1"/>
  <c r="G258" i="1"/>
  <c r="I258" i="1"/>
  <c r="G259" i="1"/>
  <c r="I259" i="1"/>
  <c r="G260" i="1"/>
  <c r="I260" i="1"/>
  <c r="G261" i="1"/>
  <c r="I261" i="1"/>
  <c r="G262" i="1"/>
  <c r="I262" i="1"/>
  <c r="G263" i="1"/>
  <c r="I263" i="1"/>
  <c r="G264" i="1"/>
  <c r="I264" i="1"/>
  <c r="G265" i="1"/>
  <c r="I265" i="1"/>
  <c r="G266" i="1"/>
  <c r="I266" i="1"/>
  <c r="G267" i="1"/>
  <c r="I267" i="1"/>
  <c r="G268" i="1"/>
  <c r="I268" i="1"/>
  <c r="G269" i="1"/>
  <c r="I269" i="1"/>
  <c r="G270" i="1"/>
  <c r="I270" i="1"/>
  <c r="G271" i="1"/>
  <c r="I271" i="1"/>
  <c r="G272" i="1"/>
  <c r="I272" i="1"/>
  <c r="G273" i="1"/>
  <c r="I273" i="1"/>
  <c r="G274" i="1"/>
  <c r="I274" i="1"/>
  <c r="G275" i="1"/>
  <c r="I275" i="1"/>
  <c r="G276" i="1"/>
  <c r="I276" i="1"/>
  <c r="G277" i="1"/>
  <c r="I277" i="1"/>
  <c r="G278" i="1"/>
  <c r="I278" i="1"/>
  <c r="G279" i="1"/>
  <c r="I279" i="1"/>
  <c r="G280" i="1"/>
  <c r="I280" i="1"/>
  <c r="G281" i="1"/>
  <c r="I281" i="1"/>
  <c r="G282" i="1"/>
  <c r="I282" i="1"/>
  <c r="G283" i="1"/>
  <c r="I283" i="1"/>
  <c r="G284" i="1"/>
  <c r="I284" i="1"/>
  <c r="G285" i="1"/>
  <c r="I285" i="1"/>
  <c r="G286" i="1"/>
  <c r="I286" i="1"/>
  <c r="G287" i="1"/>
  <c r="I287" i="1"/>
  <c r="G288" i="1"/>
  <c r="I288" i="1"/>
  <c r="G289" i="1"/>
  <c r="I289" i="1"/>
  <c r="G290" i="1"/>
  <c r="I290" i="1"/>
  <c r="G291" i="1"/>
  <c r="I291" i="1"/>
  <c r="G292" i="1"/>
  <c r="I292" i="1"/>
  <c r="G293" i="1"/>
  <c r="I293" i="1"/>
  <c r="G294" i="1"/>
  <c r="I294" i="1"/>
  <c r="G295" i="1"/>
  <c r="I295" i="1"/>
  <c r="G296" i="1"/>
  <c r="I296" i="1"/>
  <c r="G297" i="1"/>
  <c r="I297" i="1"/>
  <c r="G298" i="1"/>
  <c r="I298" i="1"/>
  <c r="G299" i="1"/>
  <c r="I299" i="1"/>
  <c r="G300" i="1"/>
  <c r="I300" i="1"/>
  <c r="G301" i="1"/>
  <c r="I301" i="1"/>
  <c r="G302" i="1"/>
  <c r="I302" i="1"/>
  <c r="G304" i="1"/>
  <c r="I304" i="1"/>
  <c r="G305" i="1"/>
  <c r="I305" i="1"/>
  <c r="G306" i="1"/>
  <c r="I306" i="1"/>
  <c r="G307" i="1"/>
  <c r="I307" i="1"/>
  <c r="G308" i="1"/>
  <c r="I308" i="1"/>
  <c r="G309" i="1"/>
  <c r="I309" i="1"/>
  <c r="G310" i="1"/>
  <c r="I310" i="1"/>
  <c r="G311" i="1"/>
  <c r="I311" i="1"/>
  <c r="G312" i="1"/>
  <c r="I312" i="1"/>
  <c r="G313" i="1"/>
  <c r="I313" i="1"/>
  <c r="G314" i="1"/>
  <c r="I314" i="1"/>
  <c r="G315" i="1"/>
  <c r="I315" i="1"/>
  <c r="G316" i="1"/>
  <c r="I316" i="1"/>
  <c r="G317" i="1"/>
  <c r="I317" i="1"/>
  <c r="G318" i="1"/>
  <c r="I318" i="1"/>
  <c r="G319" i="1"/>
  <c r="I319" i="1"/>
  <c r="G320" i="1"/>
  <c r="I320" i="1"/>
  <c r="G321" i="1"/>
  <c r="I321" i="1"/>
  <c r="G322" i="1"/>
  <c r="I322" i="1"/>
  <c r="G323" i="1"/>
  <c r="I323" i="1"/>
  <c r="G324" i="1"/>
  <c r="I324" i="1"/>
  <c r="G325" i="1"/>
  <c r="I325" i="1"/>
  <c r="G326" i="1"/>
  <c r="I326" i="1"/>
  <c r="G327" i="1"/>
  <c r="I327" i="1"/>
  <c r="G328" i="1"/>
  <c r="I328" i="1"/>
  <c r="G329" i="1"/>
  <c r="I329" i="1"/>
  <c r="G330" i="1"/>
  <c r="I330" i="1"/>
  <c r="G331" i="1"/>
  <c r="I331" i="1"/>
  <c r="G332" i="1"/>
  <c r="I332" i="1"/>
  <c r="G333" i="1"/>
  <c r="I333" i="1"/>
  <c r="G334" i="1"/>
  <c r="I334" i="1"/>
  <c r="G335" i="1"/>
  <c r="I335" i="1"/>
  <c r="G336" i="1"/>
  <c r="I336" i="1"/>
  <c r="G337" i="1"/>
  <c r="I337" i="1"/>
  <c r="G338" i="1"/>
  <c r="I338" i="1"/>
  <c r="G339" i="1"/>
  <c r="I339" i="1"/>
  <c r="G340" i="1"/>
  <c r="I340" i="1"/>
  <c r="G341" i="1"/>
  <c r="I341" i="1"/>
  <c r="G342" i="1"/>
  <c r="I342" i="1"/>
  <c r="G343" i="1"/>
  <c r="I343" i="1"/>
  <c r="G344" i="1"/>
  <c r="I344" i="1"/>
  <c r="G345" i="1"/>
  <c r="I345" i="1"/>
  <c r="G346" i="1"/>
  <c r="I346" i="1"/>
  <c r="G347" i="1"/>
  <c r="I347" i="1"/>
  <c r="G348" i="1"/>
  <c r="I348" i="1"/>
  <c r="G349" i="1"/>
  <c r="I349" i="1"/>
  <c r="G350" i="1"/>
  <c r="I350" i="1"/>
  <c r="G351" i="1"/>
  <c r="I351" i="1"/>
  <c r="G352" i="1"/>
  <c r="I352" i="1"/>
  <c r="G353" i="1"/>
  <c r="I353" i="1"/>
  <c r="G354" i="1"/>
  <c r="I354" i="1"/>
  <c r="G355" i="1"/>
  <c r="I355" i="1"/>
  <c r="G356" i="1"/>
  <c r="I356" i="1"/>
  <c r="G357" i="1"/>
  <c r="I357" i="1"/>
  <c r="G358" i="1"/>
  <c r="I358" i="1"/>
  <c r="G359" i="1"/>
  <c r="I359" i="1"/>
  <c r="G360" i="1"/>
  <c r="I360" i="1"/>
  <c r="G361" i="1"/>
  <c r="I361" i="1"/>
  <c r="G362" i="1"/>
  <c r="I362" i="1"/>
  <c r="G363" i="1"/>
  <c r="I363" i="1"/>
  <c r="G364" i="1"/>
  <c r="I364" i="1"/>
  <c r="G365" i="1"/>
  <c r="I365" i="1"/>
  <c r="G366" i="1"/>
  <c r="I366" i="1"/>
  <c r="G367" i="1"/>
  <c r="I367" i="1"/>
  <c r="G368" i="1"/>
  <c r="I368" i="1"/>
  <c r="G369" i="1"/>
  <c r="I369" i="1"/>
  <c r="G370" i="1"/>
  <c r="I370" i="1"/>
  <c r="G371" i="1"/>
  <c r="I371" i="1"/>
  <c r="G372" i="1"/>
  <c r="I372" i="1"/>
  <c r="G373" i="1"/>
  <c r="I373" i="1"/>
  <c r="G374" i="1"/>
  <c r="I374" i="1"/>
  <c r="G375" i="1"/>
  <c r="I375" i="1"/>
  <c r="G376" i="1"/>
  <c r="I376" i="1"/>
  <c r="G377" i="1"/>
  <c r="I377" i="1"/>
  <c r="G378" i="1"/>
  <c r="I378" i="1"/>
  <c r="G379" i="1"/>
  <c r="I379" i="1"/>
  <c r="G380" i="1"/>
  <c r="I380" i="1"/>
  <c r="G381" i="1"/>
  <c r="I381" i="1"/>
  <c r="G382" i="1"/>
  <c r="I382" i="1"/>
  <c r="G383" i="1"/>
  <c r="I383" i="1"/>
  <c r="G384" i="1"/>
  <c r="I384" i="1"/>
  <c r="G385" i="1"/>
  <c r="I385" i="1"/>
  <c r="G386" i="1"/>
  <c r="I386" i="1"/>
  <c r="G387" i="1"/>
  <c r="I387" i="1"/>
  <c r="G388" i="1"/>
  <c r="I388" i="1"/>
  <c r="G389" i="1"/>
  <c r="I389" i="1"/>
  <c r="G390" i="1"/>
  <c r="I390" i="1"/>
  <c r="G391" i="1"/>
  <c r="I391" i="1"/>
  <c r="G392" i="1"/>
  <c r="I392" i="1"/>
  <c r="G393" i="1"/>
  <c r="I393" i="1"/>
  <c r="G394" i="1"/>
  <c r="I394" i="1"/>
  <c r="G395" i="1"/>
  <c r="I395" i="1"/>
  <c r="G396" i="1"/>
  <c r="I396" i="1"/>
  <c r="G397" i="1"/>
  <c r="I397" i="1"/>
  <c r="G398" i="1"/>
  <c r="I398" i="1"/>
  <c r="G399" i="1"/>
  <c r="I399" i="1"/>
  <c r="G400" i="1"/>
  <c r="I400" i="1"/>
  <c r="G401" i="1"/>
  <c r="I401" i="1"/>
  <c r="G402" i="1"/>
  <c r="I402" i="1"/>
  <c r="G403" i="1"/>
  <c r="I403" i="1"/>
  <c r="G404" i="1"/>
  <c r="I404" i="1"/>
  <c r="G405" i="1"/>
  <c r="I405" i="1"/>
  <c r="G406" i="1"/>
  <c r="I406" i="1"/>
  <c r="G407" i="1"/>
  <c r="I407" i="1"/>
  <c r="G408" i="1"/>
  <c r="I408" i="1"/>
  <c r="G409" i="1"/>
  <c r="I409" i="1"/>
  <c r="G410" i="1"/>
  <c r="I410" i="1"/>
  <c r="G411" i="1"/>
  <c r="I411" i="1"/>
  <c r="G412" i="1"/>
  <c r="I412" i="1"/>
  <c r="G413" i="1"/>
  <c r="I413" i="1"/>
  <c r="G414" i="1"/>
  <c r="I414" i="1"/>
  <c r="G415" i="1"/>
  <c r="I415" i="1"/>
  <c r="G416" i="1"/>
  <c r="I416" i="1"/>
  <c r="G417" i="1"/>
  <c r="I417" i="1"/>
  <c r="G418" i="1"/>
  <c r="I418" i="1"/>
  <c r="G419" i="1"/>
  <c r="I419" i="1"/>
  <c r="G420" i="1"/>
  <c r="I420" i="1"/>
  <c r="G421" i="1"/>
  <c r="I421" i="1"/>
  <c r="G422" i="1"/>
  <c r="I422" i="1"/>
  <c r="G423" i="1"/>
  <c r="I423" i="1"/>
  <c r="G424" i="1"/>
  <c r="I424" i="1"/>
  <c r="G425" i="1"/>
  <c r="I425" i="1"/>
  <c r="G426" i="1"/>
  <c r="I426" i="1"/>
  <c r="G427" i="1"/>
  <c r="I427" i="1"/>
  <c r="G428" i="1"/>
  <c r="I428" i="1"/>
  <c r="G429" i="1"/>
  <c r="I429" i="1"/>
  <c r="G430" i="1"/>
  <c r="I430" i="1"/>
  <c r="G431" i="1"/>
  <c r="I431" i="1"/>
  <c r="G432" i="1"/>
  <c r="I432" i="1"/>
  <c r="G433" i="1"/>
  <c r="I433" i="1"/>
  <c r="G434" i="1"/>
  <c r="I434" i="1"/>
  <c r="G435" i="1"/>
  <c r="I435" i="1"/>
  <c r="G436" i="1"/>
  <c r="I436" i="1"/>
  <c r="G437" i="1"/>
  <c r="I437" i="1"/>
  <c r="G438" i="1"/>
  <c r="I438" i="1"/>
  <c r="G439" i="1"/>
  <c r="I439" i="1"/>
  <c r="G440" i="1"/>
  <c r="I440" i="1"/>
  <c r="G441" i="1"/>
  <c r="I441" i="1"/>
  <c r="G442" i="1"/>
  <c r="I442" i="1"/>
  <c r="G443" i="1"/>
  <c r="I443" i="1"/>
  <c r="G444" i="1"/>
  <c r="I444" i="1"/>
  <c r="G445" i="1"/>
  <c r="I445" i="1"/>
  <c r="G446" i="1"/>
  <c r="I446" i="1"/>
  <c r="G447" i="1"/>
  <c r="I447" i="1"/>
  <c r="G448" i="1"/>
  <c r="I448" i="1"/>
  <c r="G449" i="1"/>
  <c r="I449" i="1"/>
  <c r="G450" i="1"/>
  <c r="I450" i="1"/>
  <c r="G451" i="1"/>
  <c r="I451" i="1"/>
  <c r="G452" i="1"/>
  <c r="I452" i="1"/>
  <c r="G453" i="1"/>
  <c r="I453" i="1"/>
  <c r="G454" i="1"/>
  <c r="I454" i="1"/>
  <c r="G455" i="1"/>
  <c r="I455" i="1"/>
  <c r="G456" i="1"/>
  <c r="I456" i="1"/>
  <c r="G457" i="1"/>
  <c r="I457" i="1"/>
  <c r="G458" i="1"/>
  <c r="I458" i="1"/>
  <c r="G459" i="1"/>
  <c r="I459" i="1"/>
  <c r="G460" i="1"/>
  <c r="I460" i="1"/>
  <c r="G461" i="1"/>
  <c r="I461" i="1"/>
  <c r="G462" i="1"/>
  <c r="I462" i="1"/>
  <c r="G463" i="1"/>
  <c r="I463" i="1"/>
  <c r="G464" i="1"/>
  <c r="I464" i="1"/>
  <c r="G465" i="1"/>
  <c r="I465" i="1"/>
  <c r="G466" i="1"/>
  <c r="I466" i="1"/>
  <c r="G467" i="1"/>
  <c r="I467" i="1"/>
  <c r="G468" i="1"/>
  <c r="I468" i="1"/>
  <c r="G469" i="1"/>
  <c r="I469" i="1"/>
  <c r="G470" i="1"/>
  <c r="I470" i="1"/>
  <c r="G471" i="1"/>
  <c r="I471" i="1"/>
  <c r="G472" i="1"/>
  <c r="I472" i="1"/>
  <c r="G473" i="1"/>
  <c r="I473" i="1"/>
  <c r="G474" i="1"/>
  <c r="I474" i="1"/>
  <c r="G475" i="1"/>
  <c r="I475" i="1"/>
  <c r="G476" i="1"/>
  <c r="I476" i="1"/>
  <c r="G477" i="1"/>
  <c r="I477" i="1"/>
  <c r="G478" i="1"/>
  <c r="I478" i="1"/>
  <c r="G479" i="1"/>
  <c r="I479" i="1"/>
  <c r="G480" i="1"/>
  <c r="I480" i="1"/>
  <c r="G481" i="1"/>
  <c r="I481" i="1"/>
  <c r="G482" i="1"/>
  <c r="I482" i="1"/>
  <c r="G483" i="1"/>
  <c r="I483" i="1"/>
  <c r="G484" i="1"/>
  <c r="I484" i="1"/>
  <c r="G485" i="1"/>
  <c r="I485" i="1"/>
  <c r="G486" i="1"/>
  <c r="I486" i="1"/>
  <c r="G487" i="1"/>
  <c r="I487" i="1"/>
  <c r="G488" i="1"/>
  <c r="I488" i="1"/>
  <c r="G489" i="1"/>
  <c r="I489" i="1"/>
  <c r="G490" i="1"/>
  <c r="I490" i="1"/>
  <c r="G491" i="1"/>
  <c r="I491" i="1"/>
  <c r="G492" i="1"/>
  <c r="I492" i="1"/>
  <c r="G493" i="1"/>
  <c r="I493" i="1"/>
  <c r="G494" i="1"/>
  <c r="I494" i="1"/>
  <c r="G495" i="1"/>
  <c r="I495" i="1"/>
  <c r="G496" i="1"/>
  <c r="I496" i="1"/>
  <c r="G497" i="1"/>
  <c r="I497" i="1"/>
  <c r="G498" i="1"/>
  <c r="I498" i="1"/>
  <c r="G499" i="1"/>
  <c r="I499" i="1"/>
  <c r="G500" i="1"/>
  <c r="I500" i="1"/>
  <c r="G501" i="1"/>
  <c r="I501" i="1"/>
  <c r="G502" i="1"/>
  <c r="I502" i="1"/>
  <c r="G503" i="1"/>
  <c r="I503" i="1"/>
  <c r="G504" i="1"/>
  <c r="I504" i="1"/>
  <c r="G505" i="1"/>
  <c r="I505" i="1"/>
  <c r="G506" i="1"/>
  <c r="I506" i="1"/>
  <c r="G507" i="1"/>
  <c r="I507" i="1"/>
  <c r="G508" i="1"/>
  <c r="I508" i="1"/>
  <c r="G509" i="1"/>
  <c r="I509" i="1"/>
  <c r="G510" i="1"/>
  <c r="I510" i="1"/>
  <c r="G511" i="1"/>
  <c r="I511" i="1"/>
  <c r="G512" i="1"/>
  <c r="I512" i="1"/>
  <c r="M4" i="1" l="1"/>
  <c r="N4" i="1"/>
  <c r="M5" i="1"/>
  <c r="N5" i="1"/>
  <c r="M6" i="1"/>
  <c r="N6" i="1"/>
  <c r="M7" i="1"/>
  <c r="N7" i="1"/>
  <c r="M8" i="1"/>
  <c r="N8" i="1"/>
  <c r="M9" i="1"/>
  <c r="N9" i="1"/>
  <c r="M11" i="1"/>
  <c r="N11" i="1"/>
  <c r="M12" i="1"/>
  <c r="N12" i="1"/>
  <c r="M13" i="1"/>
  <c r="N13" i="1"/>
  <c r="M14" i="1"/>
  <c r="N14" i="1"/>
  <c r="M16" i="1"/>
  <c r="N16" i="1"/>
  <c r="M17" i="1"/>
  <c r="N17" i="1"/>
  <c r="M18" i="1"/>
  <c r="N18" i="1"/>
  <c r="M19" i="1"/>
  <c r="N19" i="1"/>
  <c r="M20" i="1"/>
  <c r="N20" i="1"/>
  <c r="M21" i="1"/>
  <c r="N21" i="1"/>
  <c r="M22" i="1"/>
  <c r="N22" i="1"/>
  <c r="M23" i="1"/>
  <c r="N23" i="1"/>
  <c r="M24" i="1"/>
  <c r="N24" i="1"/>
  <c r="M25" i="1"/>
  <c r="N25" i="1"/>
  <c r="M26" i="1"/>
  <c r="N26" i="1"/>
  <c r="M27" i="1"/>
  <c r="N27" i="1"/>
  <c r="M28" i="1"/>
  <c r="N28" i="1"/>
  <c r="M29" i="1"/>
  <c r="N29" i="1"/>
  <c r="M30" i="1"/>
  <c r="N30" i="1"/>
  <c r="M31" i="1"/>
  <c r="N31" i="1"/>
  <c r="M32" i="1"/>
  <c r="N32" i="1"/>
  <c r="M33" i="1"/>
  <c r="N33" i="1"/>
  <c r="M34" i="1"/>
  <c r="N34" i="1"/>
  <c r="M35" i="1"/>
  <c r="N35" i="1"/>
  <c r="M36" i="1"/>
  <c r="N36" i="1"/>
  <c r="M37" i="1"/>
  <c r="N37" i="1"/>
  <c r="M38" i="1"/>
  <c r="N38" i="1"/>
  <c r="M39" i="1"/>
  <c r="N39" i="1"/>
  <c r="M40" i="1"/>
  <c r="N40" i="1"/>
  <c r="M41" i="1"/>
  <c r="N41" i="1"/>
  <c r="M42" i="1"/>
  <c r="N42" i="1"/>
  <c r="M43" i="1"/>
  <c r="N43" i="1"/>
  <c r="M44" i="1"/>
  <c r="N44" i="1"/>
  <c r="M46" i="1"/>
  <c r="N46" i="1"/>
  <c r="M47" i="1"/>
  <c r="N47" i="1"/>
  <c r="M48" i="1"/>
  <c r="N48" i="1"/>
  <c r="M49" i="1"/>
  <c r="N49" i="1"/>
  <c r="M50" i="1"/>
  <c r="N50" i="1"/>
  <c r="M51" i="1"/>
  <c r="N51" i="1"/>
  <c r="M52" i="1"/>
  <c r="N52" i="1"/>
  <c r="M55" i="1"/>
  <c r="N55" i="1"/>
  <c r="M56" i="1"/>
  <c r="N56" i="1"/>
  <c r="M57" i="1"/>
  <c r="N57" i="1"/>
  <c r="M58" i="1"/>
  <c r="N58" i="1"/>
  <c r="M59" i="1"/>
  <c r="N59" i="1"/>
  <c r="M60" i="1"/>
  <c r="N60" i="1"/>
  <c r="M61" i="1"/>
  <c r="N61" i="1"/>
  <c r="M62" i="1"/>
  <c r="N62" i="1"/>
  <c r="M63" i="1"/>
  <c r="N63" i="1"/>
  <c r="M64" i="1"/>
  <c r="N64" i="1"/>
  <c r="M65" i="1"/>
  <c r="N65" i="1"/>
  <c r="M66" i="1"/>
  <c r="N66" i="1"/>
  <c r="M67" i="1"/>
  <c r="N67" i="1"/>
  <c r="M68" i="1"/>
  <c r="N68" i="1"/>
  <c r="M70" i="1"/>
  <c r="N70" i="1"/>
  <c r="M71" i="1"/>
  <c r="N71" i="1"/>
  <c r="M72" i="1"/>
  <c r="N72" i="1"/>
  <c r="M73" i="1"/>
  <c r="N73" i="1"/>
  <c r="M74" i="1"/>
  <c r="N74" i="1"/>
  <c r="M75" i="1"/>
  <c r="N75" i="1"/>
  <c r="M76" i="1"/>
  <c r="N76" i="1"/>
  <c r="M77" i="1"/>
  <c r="N77" i="1"/>
  <c r="M78" i="1"/>
  <c r="N78" i="1"/>
  <c r="M79" i="1"/>
  <c r="N79" i="1"/>
  <c r="M80" i="1"/>
  <c r="N80" i="1"/>
  <c r="M81" i="1"/>
  <c r="N81" i="1"/>
  <c r="M82" i="1"/>
  <c r="N82" i="1"/>
  <c r="M83" i="1"/>
  <c r="N83" i="1"/>
  <c r="M84" i="1"/>
  <c r="N84" i="1"/>
  <c r="M85" i="1"/>
  <c r="N85" i="1"/>
  <c r="M86" i="1"/>
  <c r="N86" i="1"/>
  <c r="M87" i="1"/>
  <c r="N87" i="1"/>
  <c r="M88" i="1"/>
  <c r="N88" i="1"/>
  <c r="M89" i="1"/>
  <c r="N89" i="1"/>
  <c r="M90" i="1"/>
  <c r="N90" i="1"/>
  <c r="M91" i="1"/>
  <c r="N91" i="1"/>
  <c r="M92" i="1"/>
  <c r="N92" i="1"/>
  <c r="M93" i="1"/>
  <c r="N93" i="1"/>
  <c r="M94" i="1"/>
  <c r="N94" i="1"/>
  <c r="M95" i="1"/>
  <c r="N95" i="1"/>
  <c r="M96" i="1"/>
  <c r="N96" i="1"/>
  <c r="M97" i="1"/>
  <c r="N97" i="1"/>
  <c r="M98" i="1"/>
  <c r="N98" i="1"/>
  <c r="M99" i="1"/>
  <c r="N99" i="1"/>
  <c r="M100" i="1"/>
  <c r="N100" i="1"/>
  <c r="M101" i="1"/>
  <c r="N101" i="1"/>
  <c r="M102" i="1"/>
  <c r="N102" i="1"/>
  <c r="M103" i="1"/>
  <c r="N103" i="1"/>
  <c r="M104" i="1"/>
  <c r="N104" i="1"/>
  <c r="M105" i="1"/>
  <c r="N105" i="1"/>
  <c r="M106" i="1"/>
  <c r="N106" i="1"/>
  <c r="M108" i="1"/>
  <c r="N108" i="1"/>
  <c r="M109" i="1"/>
  <c r="N109" i="1"/>
  <c r="M110" i="1"/>
  <c r="N110" i="1"/>
  <c r="M111" i="1"/>
  <c r="N111" i="1"/>
  <c r="M112" i="1"/>
  <c r="N112" i="1"/>
  <c r="M113" i="1"/>
  <c r="N113" i="1"/>
  <c r="M114" i="1"/>
  <c r="N114" i="1"/>
  <c r="M115" i="1"/>
  <c r="N115" i="1"/>
  <c r="M116" i="1"/>
  <c r="N116" i="1"/>
  <c r="M117" i="1"/>
  <c r="N117" i="1"/>
  <c r="M118" i="1"/>
  <c r="N118" i="1"/>
  <c r="M119" i="1"/>
  <c r="N119" i="1"/>
  <c r="M120" i="1"/>
  <c r="N120" i="1"/>
  <c r="M121" i="1"/>
  <c r="N121" i="1"/>
  <c r="M122" i="1"/>
  <c r="N122" i="1"/>
  <c r="M123" i="1"/>
  <c r="N123" i="1"/>
  <c r="M124" i="1"/>
  <c r="N124" i="1"/>
  <c r="M125" i="1"/>
  <c r="N125" i="1"/>
  <c r="M126" i="1"/>
  <c r="N126" i="1"/>
  <c r="M127" i="1"/>
  <c r="N127" i="1"/>
  <c r="M129" i="1"/>
  <c r="N129" i="1"/>
  <c r="M130" i="1"/>
  <c r="N130" i="1"/>
  <c r="M131" i="1"/>
  <c r="N131" i="1"/>
  <c r="M132" i="1"/>
  <c r="N132" i="1"/>
  <c r="M133" i="1"/>
  <c r="N133" i="1"/>
  <c r="M134" i="1"/>
  <c r="N134" i="1"/>
  <c r="M135" i="1"/>
  <c r="N135" i="1"/>
  <c r="M137" i="1"/>
  <c r="N137" i="1"/>
  <c r="M138" i="1"/>
  <c r="N138" i="1"/>
  <c r="M139" i="1"/>
  <c r="N139" i="1"/>
  <c r="M141" i="1"/>
  <c r="N141" i="1"/>
  <c r="M142" i="1"/>
  <c r="N142" i="1"/>
  <c r="M143" i="1"/>
  <c r="N143" i="1"/>
  <c r="M144" i="1"/>
  <c r="N144" i="1"/>
  <c r="M145" i="1"/>
  <c r="N145" i="1"/>
  <c r="M146" i="1"/>
  <c r="N146" i="1"/>
  <c r="M147" i="1"/>
  <c r="N147" i="1"/>
  <c r="M148" i="1"/>
  <c r="N148" i="1"/>
  <c r="M149" i="1"/>
  <c r="N149" i="1"/>
  <c r="M150" i="1"/>
  <c r="N150" i="1"/>
  <c r="M151" i="1"/>
  <c r="N151" i="1"/>
  <c r="M152" i="1"/>
  <c r="N152" i="1"/>
  <c r="M153" i="1"/>
  <c r="N153" i="1"/>
  <c r="M155" i="1"/>
  <c r="N155" i="1"/>
  <c r="M156" i="1"/>
  <c r="N156" i="1"/>
  <c r="M157" i="1"/>
  <c r="N157" i="1"/>
  <c r="M158" i="1"/>
  <c r="N158" i="1"/>
  <c r="M160" i="1"/>
  <c r="N160" i="1"/>
  <c r="M161" i="1"/>
  <c r="N161" i="1"/>
  <c r="M162" i="1"/>
  <c r="N162" i="1"/>
  <c r="M163" i="1"/>
  <c r="N163" i="1"/>
  <c r="M164" i="1"/>
  <c r="N164" i="1"/>
  <c r="M165" i="1"/>
  <c r="N165" i="1"/>
  <c r="M166" i="1"/>
  <c r="N166" i="1"/>
  <c r="M167" i="1"/>
  <c r="N167" i="1"/>
  <c r="M168" i="1"/>
  <c r="N168" i="1"/>
  <c r="M169" i="1"/>
  <c r="N169" i="1"/>
  <c r="M170" i="1"/>
  <c r="N170" i="1"/>
  <c r="M171" i="1"/>
  <c r="N171" i="1"/>
  <c r="M172" i="1"/>
  <c r="N172" i="1"/>
  <c r="M173" i="1"/>
  <c r="N173" i="1"/>
  <c r="M174" i="1"/>
  <c r="N174" i="1"/>
  <c r="M175" i="1"/>
  <c r="N175" i="1"/>
  <c r="M176" i="1"/>
  <c r="N176" i="1"/>
  <c r="M177" i="1"/>
  <c r="N177" i="1"/>
  <c r="M178" i="1"/>
  <c r="N178" i="1"/>
  <c r="M179" i="1"/>
  <c r="N179" i="1"/>
  <c r="M180" i="1"/>
  <c r="N180" i="1"/>
  <c r="M181" i="1"/>
  <c r="N181" i="1"/>
  <c r="M182" i="1"/>
  <c r="N182" i="1"/>
  <c r="M183" i="1"/>
  <c r="N183" i="1"/>
  <c r="M184" i="1"/>
  <c r="N184" i="1"/>
  <c r="M185" i="1"/>
  <c r="N185" i="1"/>
  <c r="M186" i="1"/>
  <c r="N186" i="1"/>
  <c r="M187" i="1"/>
  <c r="N187" i="1"/>
  <c r="M188" i="1"/>
  <c r="N188" i="1"/>
  <c r="M189" i="1"/>
  <c r="N189" i="1"/>
  <c r="M190" i="1"/>
  <c r="N190" i="1"/>
  <c r="M191" i="1"/>
  <c r="N191" i="1"/>
  <c r="M192" i="1"/>
  <c r="N192" i="1"/>
  <c r="M193" i="1"/>
  <c r="N193" i="1"/>
  <c r="M194" i="1"/>
  <c r="N194" i="1"/>
  <c r="M195" i="1"/>
  <c r="N195" i="1"/>
  <c r="M196" i="1"/>
  <c r="N196" i="1"/>
  <c r="M197" i="1"/>
  <c r="N197" i="1"/>
  <c r="M198" i="1"/>
  <c r="N198" i="1"/>
  <c r="M199" i="1"/>
  <c r="N199" i="1"/>
  <c r="M200" i="1"/>
  <c r="N200" i="1"/>
  <c r="M201" i="1"/>
  <c r="N201" i="1"/>
  <c r="M202" i="1"/>
  <c r="N202" i="1"/>
  <c r="M203" i="1"/>
  <c r="N203" i="1"/>
  <c r="M204" i="1"/>
  <c r="N204" i="1"/>
  <c r="M205" i="1"/>
  <c r="N205" i="1"/>
  <c r="M206" i="1"/>
  <c r="N206" i="1"/>
  <c r="M207" i="1"/>
  <c r="N207" i="1"/>
  <c r="M208" i="1"/>
  <c r="N208" i="1"/>
  <c r="M209" i="1"/>
  <c r="N209" i="1"/>
  <c r="M210" i="1"/>
  <c r="N210" i="1"/>
  <c r="M211" i="1"/>
  <c r="N211" i="1"/>
  <c r="M212" i="1"/>
  <c r="N212" i="1"/>
  <c r="M213" i="1"/>
  <c r="N213" i="1"/>
  <c r="M214" i="1"/>
  <c r="N214" i="1"/>
  <c r="M215" i="1"/>
  <c r="N215" i="1"/>
  <c r="M216" i="1"/>
  <c r="N216" i="1"/>
  <c r="M217" i="1"/>
  <c r="N217" i="1"/>
  <c r="M218" i="1"/>
  <c r="N218" i="1"/>
  <c r="M219" i="1"/>
  <c r="N219" i="1"/>
  <c r="M220" i="1"/>
  <c r="N220" i="1"/>
  <c r="M221" i="1"/>
  <c r="N221" i="1"/>
  <c r="M222" i="1"/>
  <c r="N222" i="1"/>
  <c r="M223" i="1"/>
  <c r="N223" i="1"/>
  <c r="M224" i="1"/>
  <c r="N224" i="1"/>
  <c r="M225" i="1"/>
  <c r="N225" i="1"/>
  <c r="M226" i="1"/>
  <c r="N226" i="1"/>
  <c r="M227" i="1"/>
  <c r="N227" i="1"/>
  <c r="M228" i="1"/>
  <c r="N228" i="1"/>
  <c r="M229" i="1"/>
  <c r="N229" i="1"/>
  <c r="M230" i="1"/>
  <c r="N230" i="1"/>
  <c r="M231" i="1"/>
  <c r="N231" i="1"/>
  <c r="M233" i="1"/>
  <c r="N233" i="1"/>
  <c r="M234" i="1"/>
  <c r="N234" i="1"/>
  <c r="M235" i="1"/>
  <c r="N235" i="1"/>
  <c r="M239" i="1"/>
  <c r="N239" i="1"/>
  <c r="M240" i="1"/>
  <c r="N240" i="1"/>
  <c r="M241" i="1"/>
  <c r="N241" i="1"/>
  <c r="M242" i="1"/>
  <c r="N242" i="1"/>
  <c r="M243" i="1"/>
  <c r="N243" i="1"/>
  <c r="M244" i="1"/>
  <c r="N244" i="1"/>
  <c r="M246" i="1"/>
  <c r="N246" i="1"/>
  <c r="M248" i="1"/>
  <c r="N248" i="1"/>
  <c r="M249" i="1"/>
  <c r="N249" i="1"/>
  <c r="M250" i="1"/>
  <c r="N250" i="1"/>
  <c r="M251" i="1"/>
  <c r="N251" i="1"/>
  <c r="M252" i="1"/>
  <c r="N252" i="1"/>
  <c r="M253" i="1"/>
  <c r="N253" i="1"/>
  <c r="M254" i="1"/>
  <c r="N254" i="1"/>
  <c r="M255" i="1"/>
  <c r="N255" i="1"/>
  <c r="M256" i="1"/>
  <c r="N256" i="1"/>
  <c r="M257" i="1"/>
  <c r="N257" i="1"/>
  <c r="M258" i="1"/>
  <c r="N258" i="1"/>
  <c r="M259" i="1"/>
  <c r="N259" i="1"/>
  <c r="M260" i="1"/>
  <c r="N260" i="1"/>
  <c r="M261" i="1"/>
  <c r="N261" i="1"/>
  <c r="M262" i="1"/>
  <c r="N262" i="1"/>
  <c r="M263" i="1"/>
  <c r="N263" i="1"/>
  <c r="M264" i="1"/>
  <c r="N264" i="1"/>
  <c r="M265" i="1"/>
  <c r="N265" i="1"/>
  <c r="M266" i="1"/>
  <c r="N266" i="1"/>
  <c r="M267" i="1"/>
  <c r="N267" i="1"/>
  <c r="M268" i="1"/>
  <c r="N268" i="1"/>
  <c r="M269" i="1"/>
  <c r="N269" i="1"/>
  <c r="M270" i="1"/>
  <c r="N270" i="1"/>
  <c r="M271" i="1"/>
  <c r="N271" i="1"/>
  <c r="M272" i="1"/>
  <c r="N272" i="1"/>
  <c r="M273" i="1"/>
  <c r="N273" i="1"/>
  <c r="M274" i="1"/>
  <c r="N274" i="1"/>
  <c r="M275" i="1"/>
  <c r="N275" i="1"/>
  <c r="M276" i="1"/>
  <c r="N276" i="1"/>
  <c r="M277" i="1"/>
  <c r="N277" i="1"/>
  <c r="M278" i="1"/>
  <c r="N278" i="1"/>
  <c r="M279" i="1"/>
  <c r="N279" i="1"/>
  <c r="M280" i="1"/>
  <c r="N280" i="1"/>
  <c r="M281" i="1"/>
  <c r="N281" i="1"/>
  <c r="M282" i="1"/>
  <c r="N282" i="1"/>
  <c r="M283" i="1"/>
  <c r="N283" i="1"/>
  <c r="M284" i="1"/>
  <c r="N284" i="1"/>
  <c r="M285" i="1"/>
  <c r="N285" i="1"/>
  <c r="M286" i="1"/>
  <c r="N286" i="1"/>
  <c r="M287" i="1"/>
  <c r="N287" i="1"/>
  <c r="M288" i="1"/>
  <c r="N288" i="1"/>
  <c r="M291" i="1"/>
  <c r="N291" i="1"/>
  <c r="M292" i="1"/>
  <c r="N292" i="1"/>
  <c r="M293" i="1"/>
  <c r="N293" i="1"/>
  <c r="M294" i="1"/>
  <c r="N294" i="1"/>
  <c r="M295" i="1"/>
  <c r="N295" i="1"/>
  <c r="M296" i="1"/>
  <c r="N296" i="1"/>
  <c r="M297" i="1"/>
  <c r="N297" i="1"/>
  <c r="M298" i="1"/>
  <c r="N298" i="1"/>
  <c r="M299" i="1"/>
  <c r="N299" i="1"/>
  <c r="M300" i="1"/>
  <c r="N300" i="1"/>
  <c r="M301" i="1"/>
  <c r="N301" i="1"/>
  <c r="M302" i="1"/>
  <c r="N302" i="1"/>
  <c r="M304" i="1"/>
  <c r="N304" i="1"/>
  <c r="M305" i="1"/>
  <c r="N305" i="1"/>
  <c r="M306" i="1"/>
  <c r="N306" i="1"/>
  <c r="M307" i="1"/>
  <c r="N307" i="1"/>
  <c r="M308" i="1"/>
  <c r="N308" i="1"/>
  <c r="M309" i="1"/>
  <c r="N309" i="1"/>
  <c r="M310" i="1"/>
  <c r="N310" i="1"/>
  <c r="M311" i="1"/>
  <c r="N311" i="1"/>
  <c r="M312" i="1"/>
  <c r="N312" i="1"/>
  <c r="M313" i="1"/>
  <c r="N313" i="1"/>
  <c r="M314" i="1"/>
  <c r="N314" i="1"/>
  <c r="M315" i="1"/>
  <c r="N315" i="1"/>
  <c r="M316" i="1"/>
  <c r="N316" i="1"/>
  <c r="M317" i="1"/>
  <c r="N317" i="1"/>
  <c r="M318" i="1"/>
  <c r="N318" i="1"/>
  <c r="M319" i="1"/>
  <c r="N319" i="1"/>
  <c r="M320" i="1"/>
  <c r="N320" i="1"/>
  <c r="M321" i="1"/>
  <c r="N321" i="1"/>
  <c r="M322" i="1"/>
  <c r="N322" i="1"/>
  <c r="M323" i="1"/>
  <c r="N323" i="1"/>
  <c r="M325" i="1"/>
  <c r="N325" i="1"/>
  <c r="M326" i="1"/>
  <c r="N326" i="1"/>
  <c r="M327" i="1"/>
  <c r="N327" i="1"/>
  <c r="M328" i="1"/>
  <c r="N328" i="1"/>
  <c r="M329" i="1"/>
  <c r="N329" i="1"/>
  <c r="M330" i="1"/>
  <c r="N330" i="1"/>
  <c r="M331" i="1"/>
  <c r="N331" i="1"/>
  <c r="M332" i="1"/>
  <c r="N332" i="1"/>
  <c r="M333" i="1"/>
  <c r="N333" i="1"/>
  <c r="M334" i="1"/>
  <c r="N334" i="1"/>
  <c r="M335" i="1"/>
  <c r="N335" i="1"/>
  <c r="M336" i="1"/>
  <c r="N336" i="1"/>
  <c r="M337" i="1"/>
  <c r="N337" i="1"/>
  <c r="M338" i="1"/>
  <c r="N338" i="1"/>
  <c r="M339" i="1"/>
  <c r="N339" i="1"/>
  <c r="M340" i="1"/>
  <c r="N340" i="1"/>
  <c r="M341" i="1"/>
  <c r="N341" i="1"/>
  <c r="M342" i="1"/>
  <c r="N342" i="1"/>
  <c r="M343" i="1"/>
  <c r="N343" i="1"/>
  <c r="M344" i="1"/>
  <c r="N344" i="1"/>
  <c r="M345" i="1"/>
  <c r="N345" i="1"/>
  <c r="M346" i="1"/>
  <c r="N346" i="1"/>
  <c r="M347" i="1"/>
  <c r="N347" i="1"/>
  <c r="M348" i="1"/>
  <c r="N348" i="1"/>
  <c r="M349" i="1"/>
  <c r="N349" i="1"/>
  <c r="M350" i="1"/>
  <c r="N350" i="1"/>
  <c r="M351" i="1"/>
  <c r="N351" i="1"/>
  <c r="M352" i="1"/>
  <c r="N352" i="1"/>
  <c r="M353" i="1"/>
  <c r="N353" i="1"/>
  <c r="M354" i="1"/>
  <c r="N354" i="1"/>
  <c r="M355" i="1"/>
  <c r="N355" i="1"/>
  <c r="M356" i="1"/>
  <c r="N356" i="1"/>
  <c r="M357" i="1"/>
  <c r="N357" i="1"/>
  <c r="M358" i="1"/>
  <c r="N358" i="1"/>
  <c r="M359" i="1"/>
  <c r="N359" i="1"/>
  <c r="M360" i="1"/>
  <c r="N360" i="1"/>
  <c r="M361" i="1"/>
  <c r="N361" i="1"/>
  <c r="M362" i="1"/>
  <c r="N362" i="1"/>
  <c r="M363" i="1"/>
  <c r="N363" i="1"/>
  <c r="M364" i="1"/>
  <c r="N364" i="1"/>
  <c r="M365" i="1"/>
  <c r="N365" i="1"/>
  <c r="M366" i="1"/>
  <c r="N366" i="1"/>
  <c r="M367" i="1"/>
  <c r="N367" i="1"/>
  <c r="M368" i="1"/>
  <c r="N368" i="1"/>
  <c r="M369" i="1"/>
  <c r="N369" i="1"/>
  <c r="M370" i="1"/>
  <c r="N370" i="1"/>
  <c r="M371" i="1"/>
  <c r="N371" i="1"/>
  <c r="M372" i="1"/>
  <c r="N372" i="1"/>
  <c r="M373" i="1"/>
  <c r="N373" i="1"/>
  <c r="M374" i="1"/>
  <c r="N374" i="1"/>
  <c r="M375" i="1"/>
  <c r="N375" i="1"/>
  <c r="M376" i="1"/>
  <c r="N376" i="1"/>
  <c r="M377" i="1"/>
  <c r="N377" i="1"/>
  <c r="M378" i="1"/>
  <c r="N378" i="1"/>
  <c r="M379" i="1"/>
  <c r="N379" i="1"/>
  <c r="M380" i="1"/>
  <c r="N380" i="1"/>
  <c r="M381" i="1"/>
  <c r="N381" i="1"/>
  <c r="M382" i="1"/>
  <c r="N382" i="1"/>
  <c r="M383" i="1"/>
  <c r="N383" i="1"/>
  <c r="M384" i="1"/>
  <c r="N384" i="1"/>
  <c r="M385" i="1"/>
  <c r="N385" i="1"/>
  <c r="M386" i="1"/>
  <c r="N386" i="1"/>
  <c r="M387" i="1"/>
  <c r="N387" i="1"/>
  <c r="M388" i="1"/>
  <c r="N388" i="1"/>
  <c r="M389" i="1"/>
  <c r="N389" i="1"/>
  <c r="M390" i="1"/>
  <c r="N390" i="1"/>
  <c r="M391" i="1"/>
  <c r="N391" i="1"/>
  <c r="M392" i="1"/>
  <c r="N392" i="1"/>
  <c r="M393" i="1"/>
  <c r="N393" i="1"/>
  <c r="M394" i="1"/>
  <c r="N394" i="1"/>
  <c r="M395" i="1"/>
  <c r="N395" i="1"/>
  <c r="M396" i="1"/>
  <c r="N396" i="1"/>
  <c r="M397" i="1"/>
  <c r="N397" i="1"/>
  <c r="M398" i="1"/>
  <c r="N398" i="1"/>
  <c r="M400" i="1"/>
  <c r="N400" i="1"/>
  <c r="M401" i="1"/>
  <c r="N401" i="1"/>
  <c r="M402" i="1"/>
  <c r="N402" i="1"/>
  <c r="M403" i="1"/>
  <c r="N403" i="1"/>
  <c r="M404" i="1"/>
  <c r="N404" i="1"/>
  <c r="M405" i="1"/>
  <c r="N405" i="1"/>
  <c r="M406" i="1"/>
  <c r="N406" i="1"/>
  <c r="M407" i="1"/>
  <c r="N407" i="1"/>
  <c r="M408" i="1"/>
  <c r="N408" i="1"/>
  <c r="M409" i="1"/>
  <c r="N409" i="1"/>
  <c r="M410" i="1"/>
  <c r="N410" i="1"/>
  <c r="M411" i="1"/>
  <c r="N411" i="1"/>
  <c r="M412" i="1"/>
  <c r="N412" i="1"/>
  <c r="M413" i="1"/>
  <c r="N413" i="1"/>
  <c r="M414" i="1"/>
  <c r="N414" i="1"/>
  <c r="M416" i="1"/>
  <c r="N416" i="1"/>
  <c r="M417" i="1"/>
  <c r="N417" i="1"/>
  <c r="M418" i="1"/>
  <c r="N418" i="1"/>
  <c r="M419" i="1"/>
  <c r="N419" i="1"/>
  <c r="M420" i="1"/>
  <c r="N420" i="1"/>
  <c r="M421" i="1"/>
  <c r="N421" i="1"/>
  <c r="M422" i="1"/>
  <c r="N422" i="1"/>
  <c r="M423" i="1"/>
  <c r="N423" i="1"/>
  <c r="M424" i="1"/>
  <c r="N424" i="1"/>
  <c r="M425" i="1"/>
  <c r="N425" i="1"/>
  <c r="M426" i="1"/>
  <c r="N426" i="1"/>
  <c r="M427" i="1"/>
  <c r="N427" i="1"/>
  <c r="M429" i="1"/>
  <c r="N429" i="1"/>
  <c r="M430" i="1"/>
  <c r="N430" i="1"/>
  <c r="M431" i="1"/>
  <c r="N431" i="1"/>
  <c r="M432" i="1"/>
  <c r="N432" i="1"/>
  <c r="M433" i="1"/>
  <c r="N433" i="1"/>
  <c r="M434" i="1"/>
  <c r="N434" i="1"/>
  <c r="M435" i="1"/>
  <c r="N435" i="1"/>
  <c r="M436" i="1"/>
  <c r="N436" i="1"/>
  <c r="M437" i="1"/>
  <c r="N437" i="1"/>
  <c r="M438" i="1"/>
  <c r="N438" i="1"/>
  <c r="M440" i="1"/>
  <c r="N440" i="1"/>
  <c r="M441" i="1"/>
  <c r="N441" i="1"/>
  <c r="M442" i="1"/>
  <c r="N442" i="1"/>
  <c r="M443" i="1"/>
  <c r="N443" i="1"/>
  <c r="M444" i="1"/>
  <c r="N444" i="1"/>
  <c r="M445" i="1"/>
  <c r="N445" i="1"/>
  <c r="M446" i="1"/>
  <c r="N446" i="1"/>
  <c r="M447" i="1"/>
  <c r="N447" i="1"/>
  <c r="M448" i="1"/>
  <c r="N448" i="1"/>
  <c r="M449" i="1"/>
  <c r="N449" i="1"/>
  <c r="M450" i="1"/>
  <c r="N450" i="1"/>
  <c r="M451" i="1"/>
  <c r="N451" i="1"/>
  <c r="M452" i="1"/>
  <c r="N452" i="1"/>
  <c r="M453" i="1"/>
  <c r="N453" i="1"/>
  <c r="M454" i="1"/>
  <c r="N454" i="1"/>
  <c r="M455" i="1"/>
  <c r="N455" i="1"/>
  <c r="M456" i="1"/>
  <c r="N456" i="1"/>
  <c r="M457" i="1"/>
  <c r="N457" i="1"/>
  <c r="M458" i="1"/>
  <c r="N458" i="1"/>
  <c r="M459" i="1"/>
  <c r="N459" i="1"/>
  <c r="M460" i="1"/>
  <c r="N460" i="1"/>
  <c r="M461" i="1"/>
  <c r="N461" i="1"/>
  <c r="M462" i="1"/>
  <c r="N462" i="1"/>
  <c r="M463" i="1"/>
  <c r="N463" i="1"/>
  <c r="M464" i="1"/>
  <c r="N464" i="1"/>
  <c r="M466" i="1"/>
  <c r="N466" i="1"/>
  <c r="M467" i="1"/>
  <c r="N467" i="1"/>
  <c r="M468" i="1"/>
  <c r="N468" i="1"/>
  <c r="M469" i="1"/>
  <c r="N469" i="1"/>
  <c r="M470" i="1"/>
  <c r="N470" i="1"/>
  <c r="M471" i="1"/>
  <c r="N471" i="1"/>
  <c r="M472" i="1"/>
  <c r="N472" i="1"/>
  <c r="M473" i="1"/>
  <c r="N473" i="1"/>
  <c r="M474" i="1"/>
  <c r="N474" i="1"/>
  <c r="M475" i="1"/>
  <c r="N475" i="1"/>
  <c r="M476" i="1"/>
  <c r="N476" i="1"/>
  <c r="M477" i="1"/>
  <c r="N477" i="1"/>
  <c r="M478" i="1"/>
  <c r="N478" i="1"/>
  <c r="M479" i="1"/>
  <c r="N479" i="1"/>
  <c r="M480" i="1"/>
  <c r="N480" i="1"/>
  <c r="M482" i="1"/>
  <c r="N482" i="1"/>
  <c r="M483" i="1"/>
  <c r="N483" i="1"/>
  <c r="M484" i="1"/>
  <c r="N484" i="1"/>
  <c r="M485" i="1"/>
  <c r="N485" i="1"/>
  <c r="M487" i="1"/>
  <c r="N487" i="1"/>
  <c r="M488" i="1"/>
  <c r="N488" i="1"/>
  <c r="M489" i="1"/>
  <c r="N489" i="1"/>
  <c r="M490" i="1"/>
  <c r="N490" i="1"/>
  <c r="M491" i="1"/>
  <c r="N491" i="1"/>
  <c r="M492" i="1"/>
  <c r="N492" i="1"/>
  <c r="M493" i="1"/>
  <c r="N493" i="1"/>
  <c r="M494" i="1"/>
  <c r="N494" i="1"/>
  <c r="M495" i="1"/>
  <c r="N495" i="1"/>
  <c r="M496" i="1"/>
  <c r="N496" i="1"/>
  <c r="M497" i="1"/>
  <c r="N497" i="1"/>
  <c r="M498" i="1"/>
  <c r="N498" i="1"/>
  <c r="M499" i="1"/>
  <c r="N499" i="1"/>
  <c r="M500" i="1"/>
  <c r="N500" i="1"/>
  <c r="M501" i="1"/>
  <c r="N501" i="1"/>
  <c r="M502" i="1"/>
  <c r="N502" i="1"/>
  <c r="M503" i="1"/>
  <c r="N503" i="1"/>
  <c r="M504" i="1"/>
  <c r="N504" i="1"/>
  <c r="M505" i="1"/>
  <c r="N505" i="1"/>
  <c r="M506" i="1"/>
  <c r="N506" i="1"/>
  <c r="M507" i="1"/>
  <c r="N507" i="1"/>
  <c r="M508" i="1"/>
  <c r="N508" i="1"/>
  <c r="M509" i="1"/>
  <c r="N509" i="1"/>
  <c r="M510" i="1"/>
  <c r="N510" i="1"/>
  <c r="M511" i="1"/>
  <c r="N511" i="1"/>
  <c r="M512" i="1"/>
  <c r="N512" i="1"/>
  <c r="N3" i="1" l="1"/>
  <c r="M3" i="1"/>
  <c r="I3" i="1"/>
  <c r="J2" i="1" s="1"/>
  <c r="G3" i="1"/>
  <c r="H2" i="1" s="1"/>
  <c r="E734" i="1" l="1"/>
  <c r="L2" i="1" l="1"/>
</calcChain>
</file>

<file path=xl/sharedStrings.xml><?xml version="1.0" encoding="utf-8"?>
<sst xmlns="http://schemas.openxmlformats.org/spreadsheetml/2006/main" count="1220" uniqueCount="798">
  <si>
    <t>Artistes / Titres</t>
  </si>
  <si>
    <t>Priorité</t>
  </si>
  <si>
    <t>ABBA - Gimme! gimme! gimme!</t>
  </si>
  <si>
    <t>Note</t>
  </si>
  <si>
    <t>Site</t>
  </si>
  <si>
    <t>J'ai</t>
  </si>
  <si>
    <t>CREME D'COCOA - Doin' the dog</t>
  </si>
  <si>
    <t>VIVIEN VEE - Destiny</t>
  </si>
  <si>
    <t>COMMODORES - Painted picture</t>
  </si>
  <si>
    <t>DESTINATION - Move on up</t>
  </si>
  <si>
    <t>JEROME PRISTER - Say you'll be</t>
  </si>
  <si>
    <t>MAJIK - You gotte get up</t>
  </si>
  <si>
    <t>MCFADDEN &amp; WHITEHEAD - Ain't no stoppin' us now</t>
  </si>
  <si>
    <t>EVELYN KING - Your personal touch</t>
  </si>
  <si>
    <t>MIKKI - Itching for love</t>
  </si>
  <si>
    <t>MADONNA - Holiday</t>
  </si>
  <si>
    <t>GEORGE AND GLEN MILLER - Touch your life</t>
  </si>
  <si>
    <t>ORLANDO JOHNSON AND TRANCE - Turn the music on</t>
  </si>
  <si>
    <t>THE WHATNAUTS - Help is on the way</t>
  </si>
  <si>
    <t>GAYLE ADAMS - Emergency</t>
  </si>
  <si>
    <t>GAYLE ADAMS - I'm warning you</t>
  </si>
  <si>
    <t>GAYLE ADAMS - Love fever</t>
  </si>
  <si>
    <t>KANO - Don't try to stop me</t>
  </si>
  <si>
    <t>B.B.C.S. &amp; A. - Rock shock</t>
  </si>
  <si>
    <t>WQBC - Love me anyway</t>
  </si>
  <si>
    <t>ALICIA MYERS - You get the best from me (say, say, say)</t>
  </si>
  <si>
    <t>ALPHONSE MOUZON - I'm glad that you're here</t>
  </si>
  <si>
    <t>ARETHA FRANKLIN - Get it right</t>
  </si>
  <si>
    <t>ARLANA - You can't keep breaking my heart</t>
  </si>
  <si>
    <t>ARMENTA - I wanna be with you(Part 2)</t>
  </si>
  <si>
    <t>ATLANTIC STARR - Circles</t>
  </si>
  <si>
    <t>ATLANTIS - Keep on movin' and groovin'</t>
  </si>
  <si>
    <t>AURRA - You and me tonight</t>
  </si>
  <si>
    <t>B.T. EXPRESS - Does it feel good</t>
  </si>
  <si>
    <t>B.T. EXPRESS - Let me be the one</t>
  </si>
  <si>
    <t>B.T. EXPRESS - This must be the night for love</t>
  </si>
  <si>
    <t>BAR-KAYS - Shut the funk up[LP Version]</t>
  </si>
  <si>
    <t>BEE GEES - Stayin' alive</t>
  </si>
  <si>
    <t>BEE GEES - You should be dancing</t>
  </si>
  <si>
    <t>BENNY ROSA/ BENNY ROSE - you're my lady/ it's only you</t>
  </si>
  <si>
    <t>BLISS - stomp</t>
  </si>
  <si>
    <t>BOBBY THURSTON - I know you feel like i feel</t>
  </si>
  <si>
    <t>BOBBY THURSTON - Is something wrong with you</t>
  </si>
  <si>
    <t>BONEY M. - Sunny</t>
  </si>
  <si>
    <t>BOOKER T. JONES - Don't stop your love</t>
  </si>
  <si>
    <t>BRENDA TAYLOR - You can't have your cake and eat it too</t>
  </si>
  <si>
    <t>CARL CARLTON - Sexy lady</t>
  </si>
  <si>
    <t>CARL SMITH - Come back lover</t>
  </si>
  <si>
    <t>CERRONE - Give me love</t>
  </si>
  <si>
    <t>CHANGE - Glow of love</t>
  </si>
  <si>
    <t>CHARLES EARLAND - Coming to you live</t>
  </si>
  <si>
    <t>CHEMISE - She can't love you</t>
  </si>
  <si>
    <t>CHERYL LYNN - Got to be real</t>
  </si>
  <si>
    <t>CHIC - Everybody dance</t>
  </si>
  <si>
    <t>CHOCOLATE BUTTERMILK BAND - Can't let go</t>
  </si>
  <si>
    <t>CLOCKWORK - I'm your candy girl</t>
  </si>
  <si>
    <t>COLUMBUS CIRCLE - If you read my mind</t>
  </si>
  <si>
    <t xml:space="preserve">CON FUNK SHUN - A song for you[LP Version] </t>
  </si>
  <si>
    <t>CON FUNK SHUN - Ms got-the-body</t>
  </si>
  <si>
    <t>CREATION - I'm going up</t>
  </si>
  <si>
    <t>DAYBREAK - Everybody get off</t>
  </si>
  <si>
    <t>DAZZ BAND - Let it whip</t>
  </si>
  <si>
    <t>DELEGATION - Darlin' (i think about you)</t>
  </si>
  <si>
    <t>DELEGATION - You and i</t>
  </si>
  <si>
    <t>DENROY MORGAN - i'll do anything for you</t>
  </si>
  <si>
    <t>DIANA ROSS - I'm coming out</t>
  </si>
  <si>
    <t>DIONNE WARWICK - Heartbreaker</t>
  </si>
  <si>
    <t>DOLOS - Night so right</t>
  </si>
  <si>
    <t>DON RAY - Got to have loving</t>
  </si>
  <si>
    <t>DONNA SUMMER - I feel love</t>
  </si>
  <si>
    <t>DYNASTY - Do me right</t>
  </si>
  <si>
    <t>EMPRESS - Dyin' to be dancin'</t>
  </si>
  <si>
    <t>EVELYN KING - Im in love</t>
  </si>
  <si>
    <t>EVELYN KING - Love come down</t>
  </si>
  <si>
    <t>EXQUISITE TASTE - It's you that's happening</t>
  </si>
  <si>
    <t>FINESSE - Feel it</t>
  </si>
  <si>
    <t>FINESSE - Together</t>
  </si>
  <si>
    <t>FINIS HENDERSON - Skip to my lou</t>
  </si>
  <si>
    <t>FIVE O'CLOCK - When the cat's away</t>
  </si>
  <si>
    <t>FLAKES - Sugar frosted lover</t>
  </si>
  <si>
    <t>FREDDIE JAMES - Everybody get up and boogie</t>
  </si>
  <si>
    <t>FRESH - The wolf</t>
  </si>
  <si>
    <t>GARFIELD FLEMING - Don't send me away</t>
  </si>
  <si>
    <t>GARY LOW - I want you</t>
  </si>
  <si>
    <t>GAZEBO - I like chopin</t>
  </si>
  <si>
    <t>GENE CHANDLER - Get down</t>
  </si>
  <si>
    <t>GEORGE BENSON - Give me the night</t>
  </si>
  <si>
    <t>GEORGE DUKE - Reach out</t>
  </si>
  <si>
    <t>GEORGE MCCRAE - Nice &amp; slow</t>
  </si>
  <si>
    <t>GINO SOCCIO - Hold tight</t>
  </si>
  <si>
    <t>GINO SOCCIO - Trying out</t>
  </si>
  <si>
    <t>GIORGIO MORODER - Chase</t>
  </si>
  <si>
    <t>GLADYS KNIGHT &amp; THE PIPS - Taste of bitter love</t>
  </si>
  <si>
    <t>GLENN JONES - I am somebody</t>
  </si>
  <si>
    <t>GOLDIE ALEXANDER - Knocking down love</t>
  </si>
  <si>
    <t>HARRY RAY - Love is a game</t>
  </si>
  <si>
    <t>HERBIE HANCOCK - Motor mouth[7'' Version]</t>
  </si>
  <si>
    <t>HERLEY JOHNSON JR - Do it</t>
  </si>
  <si>
    <t>HI-GLOSS - You'll never know</t>
  </si>
  <si>
    <t>INNER LIFE - Ain't no mountain high enough</t>
  </si>
  <si>
    <t>INNER LIFE - I'm caught up (in a one night love affair)</t>
  </si>
  <si>
    <t>INTRIGUE - Call of the heart</t>
  </si>
  <si>
    <t>JEROME JASPER - I'll do anything for you</t>
  </si>
  <si>
    <t>JESSE GREEN - Nice and slow</t>
  </si>
  <si>
    <t>JESSIE ROGERS - One monkey don't stop no show</t>
  </si>
  <si>
    <t>JULIUS BROWN - Sho nuff (sure look good)</t>
  </si>
  <si>
    <t>KEVIN JOHNSON - You walked out on me[7'' Version]</t>
  </si>
  <si>
    <t>KHEMISTRY - I can lose with the stuff i use</t>
  </si>
  <si>
    <t>KHEMISTRY - I can't win for losing</t>
  </si>
  <si>
    <t>KINSMAN DAZZ - I searched around[LP Version]</t>
  </si>
  <si>
    <t>KLYMAXX - I betcha</t>
  </si>
  <si>
    <t>KWICK - Night life</t>
  </si>
  <si>
    <t>LARRY WU - Let me show you</t>
  </si>
  <si>
    <t>LENNY WILLIAMS - Messing with my mind</t>
  </si>
  <si>
    <t>LEO SAYER - Thunder in my heart</t>
  </si>
  <si>
    <t>LES FEMMES - Yes you thrill me</t>
  </si>
  <si>
    <t>MIKE FRANCIS - Survivor</t>
  </si>
  <si>
    <t>NARADA MICHAEL WALDEN - I shoulda loved ya</t>
  </si>
  <si>
    <t>NEDDY SMITH - Give it up</t>
  </si>
  <si>
    <t>NICK STRAKER BAND - A little bit of jazz</t>
  </si>
  <si>
    <t>NICK STRAKER BAND - Straight Ahead</t>
  </si>
  <si>
    <t>NORTHEND FEAT. MICHELLE WALLACE - Happy days</t>
  </si>
  <si>
    <t>ORLANDO JOHNSON &amp; TRANCE - Chocolate city</t>
  </si>
  <si>
    <t>PATRICE RUSHEN - Forget me nots</t>
  </si>
  <si>
    <t>PATRICE RUSHEN - Haven't you heard</t>
  </si>
  <si>
    <t>PHYLLIS HYMAN - You know how to love me</t>
  </si>
  <si>
    <t>POINTER SISTERS - I'm so excited</t>
  </si>
  <si>
    <t>R.B. HUDMON - Searching for your love</t>
  </si>
  <si>
    <t>RAGGIO DI LUNA (MOON RAY) - Comanchero</t>
  </si>
  <si>
    <t>RAINBOW TEAM - Bite the apple</t>
  </si>
  <si>
    <t>RIC FELLINI - Welcome to rimini</t>
  </si>
  <si>
    <t>RICHARD JON SMITH - She's the master of the game</t>
  </si>
  <si>
    <t>RICK SMITH - (We should be) lovers[LP Version]</t>
  </si>
  <si>
    <t>RON BANKS - She's so good to me[LP Version]</t>
  </si>
  <si>
    <t>ROSE ROYCE - Car wash</t>
  </si>
  <si>
    <t>RYAN PARIS - Dolce vita</t>
  </si>
  <si>
    <t>SCANDAL FEATURING LEE GENESIS - Love easier grows or goes</t>
  </si>
  <si>
    <t>SECOND IMAGE - Star</t>
  </si>
  <si>
    <t>SELECTION - Got to be real</t>
  </si>
  <si>
    <t>SERGE PONSAR - Out in the night</t>
  </si>
  <si>
    <t>SHALAMAR - Make that move</t>
  </si>
  <si>
    <t>SHOT FEAT. KIM MARSH - Main thing</t>
  </si>
  <si>
    <t>SILVER CONVENTION - Get up and boogie</t>
  </si>
  <si>
    <t>SKYY - Let love shine</t>
  </si>
  <si>
    <t>SLAVE - Watching you</t>
  </si>
  <si>
    <t>SMITH WHITAKER &amp; COMPANY - Don't play no games with my love</t>
  </si>
  <si>
    <t>STARPOINT - Bring your sweet lovin back</t>
  </si>
  <si>
    <t>STEPHANIE MILLS - Never knew love like this before</t>
  </si>
  <si>
    <t>TEEROY MORRIS - Hold on tight</t>
  </si>
  <si>
    <t>THE ANTILLES - I've got to have you</t>
  </si>
  <si>
    <t>THE ARMED GANG - Are you ready</t>
  </si>
  <si>
    <t>THE CHESTNUT BROTHERS - Sweet little rita</t>
  </si>
  <si>
    <t>THE COOL NOTES - I forgot</t>
  </si>
  <si>
    <t>THE COOL NOTES - In your car</t>
  </si>
  <si>
    <t xml:space="preserve">THE COOL NOTES - Spend the night </t>
  </si>
  <si>
    <t>THE FANTASTIC ALEEMS FEAT LEROY BURGESS - Get down friday night</t>
  </si>
  <si>
    <t>THE ISLEY BROTHERS - It's a disco night (rock don't stop)(Parts 1 &amp; 2)</t>
  </si>
  <si>
    <t>THE O'JAYS - Put our heads together</t>
  </si>
  <si>
    <t>THE PAUL SIMPSON CONNECTION - Treat her sweeter</t>
  </si>
  <si>
    <t>THE REAL THING - She's a groovy freak</t>
  </si>
  <si>
    <t>THE RONNIE MC NEIR EXPERIENCE - Come be with me</t>
  </si>
  <si>
    <t>THE TEMPTATIONS - Treat her like a lady</t>
  </si>
  <si>
    <t>UNITY - Heat your body up</t>
  </si>
  <si>
    <t>UNIVERSE - Every single night</t>
  </si>
  <si>
    <t>VALERIE DORE - The night</t>
  </si>
  <si>
    <t>VAN JONES - Finger lickin' good</t>
  </si>
  <si>
    <t>VANCE AND SUZZANNE - I can't get along without you</t>
  </si>
  <si>
    <t>VOYAGE - Souvenirs</t>
  </si>
  <si>
    <t>WENDELL RICHARDSON - Soul on fire</t>
  </si>
  <si>
    <t>WORLD ENTITY - Found that love</t>
  </si>
  <si>
    <t>WORLD PREMIERE - Share the night</t>
  </si>
  <si>
    <t>YOUNG &amp; COMPANY - I like (What you're doing to me)</t>
  </si>
  <si>
    <t>YVONNE GAGE - Garden of eve</t>
  </si>
  <si>
    <t>ZINGA WASHINGTON - Back up for love[LP Version]</t>
  </si>
  <si>
    <t>BONEY M. - Daddy cool</t>
  </si>
  <si>
    <t>FREDDIE JAMES - Get up and boogie</t>
  </si>
  <si>
    <t>GINO SOCCIO - Dancer</t>
  </si>
  <si>
    <t>IMAGINATION - Just an illusion / Body talk</t>
  </si>
  <si>
    <t>JIMMY BO HORNE - Spank</t>
  </si>
  <si>
    <t xml:space="preserve">SLANG - Knock u out </t>
  </si>
  <si>
    <t>KINKYFOXX - So different</t>
  </si>
  <si>
    <t>PHILLIP BROWN - Easy life</t>
  </si>
  <si>
    <t>PHYLLIS ST JAMES - Candelight afternoon</t>
  </si>
  <si>
    <t>RICHARD JON SMITH - In the night</t>
  </si>
  <si>
    <t>SILVER CONVENTION - Fly robin fly</t>
  </si>
  <si>
    <t>THE LIMIT - Crimes Of Passion</t>
  </si>
  <si>
    <t>THE STRIKERS - Inch by inch</t>
  </si>
  <si>
    <t>ADVANCE - Take me to the top</t>
  </si>
  <si>
    <t>BUZY - Body physical[12'' Extended Version]</t>
  </si>
  <si>
    <t>ELEGANCE - Vacances j'oublie tout[12'' Disco Mix]</t>
  </si>
  <si>
    <t>PHILIPPE CATALDO - Les divas du dancing[12'' Version Longue]</t>
  </si>
  <si>
    <t>JULIE PIETRI - Eve lève toi[12'' Remix Club]</t>
  </si>
  <si>
    <t>FRANÇOIS VALERY - Aimons nous vivants[12'' Spécial Remix Club]</t>
  </si>
  <si>
    <t>GERARD BLANC - Une autre histoire[12'' Special Remix Club]</t>
  </si>
  <si>
    <t>PHILIPPE RUSSO - Magie noire[12'' Maxi]</t>
  </si>
  <si>
    <t>JEAN-PIERRE MADER - Un pied devant l'autre[12'' Maxi]</t>
  </si>
  <si>
    <t>JEAN-PIERRE FRANÇOIS - Je te survivrai[12'' Maxi]</t>
  </si>
  <si>
    <t>ALAIN CHAMFORT - Manureva[12'' Maxi]</t>
  </si>
  <si>
    <t>CHAGRIN D'AMOUR - Chacun fait (c'qui lui plait)[12'' Maxi]</t>
  </si>
  <si>
    <t>CLAUDE NOUGARO - Nougayork[12'' Remix]</t>
  </si>
  <si>
    <t>DESIRELESS - Voyage voyage[12'' Maxi]</t>
  </si>
  <si>
    <t>FELIX GRAY - La gitane[12'' Maxi]</t>
  </si>
  <si>
    <t>FRANÇOIS FELDMAN - C'est toi qui m'as fait[12'' Version Longue]</t>
  </si>
  <si>
    <t>GOLD - Laissez-nous chanter[12'' Version Longue]</t>
  </si>
  <si>
    <t>IMAGES - Les démons de minuit[12'' Version Longue]</t>
  </si>
  <si>
    <t>JEAN JACQUES GOLDMAN - Quand la musique est bonne[12'' Maxi]</t>
  </si>
  <si>
    <t>JEAN-JACQUES GOLDMAN - Encore un matin[12'' Version Longue]</t>
  </si>
  <si>
    <t>JEAN-JACQUES GOLDMAN - Il suffira (d'un signe)[12'' Maxi]</t>
  </si>
  <si>
    <t>JEAN-PIERRE MADER - Disparue[12'' Maxi]</t>
  </si>
  <si>
    <t>MARC LAVOINE - Le parking des anges[12'' Maxi]</t>
  </si>
  <si>
    <t>MICHEL SARDOU - Afrique adieu[12'' Version Integrale - Special Club]</t>
  </si>
  <si>
    <t>PATRICK JUVET - Où sont les femmes[12'' Maxi]</t>
  </si>
  <si>
    <t>REGRETS - Je ne veux pas rentrer chez moi seule[12'' Maxi]</t>
  </si>
  <si>
    <t>ROSE LAURENS - Africa[12'' Maxi]</t>
  </si>
  <si>
    <t>THIERRY PASTOR - Sur des musiques noires[12'' Version Longue]</t>
  </si>
  <si>
    <t>BRUNO MARS - Treasure</t>
  </si>
  <si>
    <t>DAFT PUNK FEAT. PHARRELL WILLIAMS - Get lucky[12'' Extended Version]</t>
  </si>
  <si>
    <t>D-VISION - Funky[12'' Version]</t>
  </si>
  <si>
    <t>ENOIS SCROGGINS FEAT. LYNSUN - Solid[12'' Version]</t>
  </si>
  <si>
    <t>JAMIROQUAI - Cosmic girl</t>
  </si>
  <si>
    <t>JAMIROQUAI - Love foolosophy</t>
  </si>
  <si>
    <t>MIGUEL CAMPBELL - Flight school[Original Mix]</t>
  </si>
  <si>
    <t>MIGUEL CAMPBELL - Something special[12'' Original Mix]</t>
  </si>
  <si>
    <t>MYRON &amp; E - Do it do it disco[Extended Unreleased Version]</t>
  </si>
  <si>
    <t>PHARRELL WILLIAMS - Happy</t>
  </si>
  <si>
    <t>FRANKIE GOES TO HOLLYWOOD - Relax[12'' Extended Version]</t>
  </si>
  <si>
    <t>P. LION - Happy children[12'' Vocal]</t>
  </si>
  <si>
    <t>SABRINA - Boys (summertime love)[12'' Maxi]</t>
  </si>
  <si>
    <t>SPAGNA - Call me[12'' Version]</t>
  </si>
  <si>
    <t>STARGO - Live is life[12'' Dance Version]</t>
  </si>
  <si>
    <t>STATUS QUO - In the army now[12'' Military Mix]</t>
  </si>
  <si>
    <t>VALERIE DORE - Get closer[12'' Maxi]</t>
  </si>
  <si>
    <t>TOTO - Georgy porgy[12'' Special Disco Version]</t>
  </si>
  <si>
    <t>MURRAY HEAD - One night in bangkok[12'' Version]</t>
  </si>
  <si>
    <t>LAURA BRANIGAN - Self control[12'' Version]</t>
  </si>
  <si>
    <t>SAMANTHA FOX - Touch me (i want your body)[12'' Extended Version]</t>
  </si>
  <si>
    <t>SURVIVOR - Eye of the tiger[12'' Maxi]</t>
  </si>
  <si>
    <t>QUEEN - Another one bites the dust[12'' Version]</t>
  </si>
  <si>
    <t>BANANARAMA - Shy Boy[12'' Extended Version]</t>
  </si>
  <si>
    <t>CAPTAIN SENSIBLE - Wot[12'' Version]</t>
  </si>
  <si>
    <t>FOX THE FOX - Precious little diamond[12'' Special Remix]</t>
  </si>
  <si>
    <t>HAMILTON BOHANNON - Let's start the dance[12'' Remix Version]</t>
  </si>
  <si>
    <t>JIMMY CLIFF - Hot shot[12'' Extended Version]</t>
  </si>
  <si>
    <t>KANO - Dance school[12'' Version]</t>
  </si>
  <si>
    <t>MURIEL DACQ - Tropique[12'' Maxi]</t>
  </si>
  <si>
    <t>PATRICK COWLEY - Menergy[12'' Maxi]</t>
  </si>
  <si>
    <t>RICK ASTLEY - Never gonna give you up[12'' Cake Mix]</t>
  </si>
  <si>
    <t>ROBERT PALMER - Johnny And Mary[12'' US Version]</t>
  </si>
  <si>
    <t>SANDRA - In the heat of the night[12'' Version]</t>
  </si>
  <si>
    <t>SIMPLY RED - Money's too tight (to mention)[12'' The Cutback Mix]</t>
  </si>
  <si>
    <t>SUPERTRAMP - The logical song[LP Version]</t>
  </si>
  <si>
    <t xml:space="preserve">TAFFY - I love my radio (midnight radio)[12'' Long Version] </t>
  </si>
  <si>
    <t>THE BELLE STARS - Sign of the times[Extended Re-Mixed 12'' Version]</t>
  </si>
  <si>
    <t>TIME BANDITS - I'm only shooting love[12'' Extended Version]</t>
  </si>
  <si>
    <t>TRAKS - Long train running[12'' Extended Version]</t>
  </si>
  <si>
    <t>VOGGUE - Dancin' the night away[12'' Extended Version]</t>
  </si>
  <si>
    <t>YAZOO - Don't go[12'' Remix Ben Liebrand]</t>
  </si>
  <si>
    <t>CLAUDE FRANÇOIS - Magnolias for ever</t>
  </si>
  <si>
    <t>ÉRIC CHARDEN - Lété s'ra chaud[12'' Maxi]</t>
  </si>
  <si>
    <t>GILBERT MONTAGNÉ - Les sunlights des tropiques[12'' Maxi]</t>
  </si>
  <si>
    <t>JEAN-PIERRE MADER - Macumba</t>
  </si>
  <si>
    <t xml:space="preserve">THIERRY HAZARD - Poupée psychédélique </t>
  </si>
  <si>
    <t>JULIEN CLERC - Cœur de rocker</t>
  </si>
  <si>
    <t>JULIEN CLERC - Mélissa</t>
  </si>
  <si>
    <t>THE HUMAN LEAGUE - Don't you want me[12'' Version]</t>
  </si>
  <si>
    <t>RISQUÉ - Thunder and lightning[12'' Maxi]</t>
  </si>
  <si>
    <t>Total</t>
  </si>
  <si>
    <t>A trouver</t>
  </si>
  <si>
    <t>ODYSSEY - Inside out</t>
  </si>
  <si>
    <t>CENTRAL LINE - Don't tell me</t>
  </si>
  <si>
    <t>LOLEATTA HOLLOWAY - Love sensation</t>
  </si>
  <si>
    <t>GENE DUNLAP - Party in me</t>
  </si>
  <si>
    <t>CURTIS HAIRSTON - I want your lovin' (just alittle bit)</t>
  </si>
  <si>
    <t>JUPITER BAND - Sarah love</t>
  </si>
  <si>
    <t>ZENA DEJONAY - I've got to find a way</t>
  </si>
  <si>
    <t>SPENCE - Get it on</t>
  </si>
  <si>
    <t>STREET ANGELS - Dressing up</t>
  </si>
  <si>
    <t>SWEET ECSTASY - Pull our love together</t>
  </si>
  <si>
    <t>LEW KIRTON - Talk to me</t>
  </si>
  <si>
    <t>LUTHER VANDROS - She's a super lady</t>
  </si>
  <si>
    <t>MELBA MOORE - Take my love</t>
  </si>
  <si>
    <t>FREEEZ - Can't keep my love</t>
  </si>
  <si>
    <t>FREEEZ - I.O.U.</t>
  </si>
  <si>
    <t>CLAUDIA PHILIPS -Quel souci la boétie!...</t>
  </si>
  <si>
    <t>MICHEL SARDOU - Les Lacs Du Connemara</t>
  </si>
  <si>
    <t>MICHEL SARDOU - Être Une Femme '97 (Femme Des Années '80)</t>
  </si>
  <si>
    <t>PETER JACQUES BAND - Fire night dance</t>
  </si>
  <si>
    <t>OCHESTRAL MANŒUVRE IN THE DARK - Enola gay</t>
  </si>
  <si>
    <t>CHRIS REA - Josephine</t>
  </si>
  <si>
    <t>CHANGE - Hold tight</t>
  </si>
  <si>
    <t>CHANGE - Searching</t>
  </si>
  <si>
    <t>SURFACE - Happy</t>
  </si>
  <si>
    <t>SURFACE - Falling in love</t>
  </si>
  <si>
    <t>SURFACE - Feels so good</t>
  </si>
  <si>
    <t>SURFACE - When you'r x want you back</t>
  </si>
  <si>
    <t>HUGH MASEKELA - Don't go lose it baby</t>
  </si>
  <si>
    <t>DONNA SUMMER - Love to love baby(16:50)</t>
  </si>
  <si>
    <t>FELDMAN AND YELLOWHAND - Can you feel it</t>
  </si>
  <si>
    <t>ROCKET - Come together</t>
  </si>
  <si>
    <t>SHARON BROWN - I spacialize in love</t>
  </si>
  <si>
    <t>SMONKEY ROBINSON - Just to see her</t>
  </si>
  <si>
    <t>WEEK'S &amp; CO - Rock you world</t>
  </si>
  <si>
    <t>POUSSEZ! - Come on and do it[12'' Special disco Remix]</t>
  </si>
  <si>
    <t>j'ai</t>
  </si>
  <si>
    <t>Commentaire</t>
  </si>
  <si>
    <t>CHRIS REA - On The beach</t>
  </si>
  <si>
    <t>CLAUDE FRANÇOIS - Alexandrie Alexandra</t>
  </si>
  <si>
    <t>Version canadienne</t>
  </si>
  <si>
    <t>FUN FUN - Happy station</t>
  </si>
  <si>
    <t>JEAN-LUC LAHAYE - Femme que j'aime</t>
  </si>
  <si>
    <t>Album</t>
  </si>
  <si>
    <t>VILLAGE PEOPLE - In the navy</t>
  </si>
  <si>
    <t>GERALDIN HUNT - Can't fake the feeling</t>
  </si>
  <si>
    <t>ELLI MEDEIROS - Toi mon toit</t>
  </si>
  <si>
    <t>ELLIE HOPE - Lucky</t>
  </si>
  <si>
    <t>GINO SOCCIO - You move me</t>
  </si>
  <si>
    <t>JACKIE MOORE - This time baby</t>
  </si>
  <si>
    <t>RISSE - Give it up, shake it down</t>
  </si>
  <si>
    <t>DAYTON - Out tonight</t>
  </si>
  <si>
    <t>THE WHISPERS - This kind of lovin'</t>
  </si>
  <si>
    <t>HOWARD JOHNSON - Say you wanna</t>
  </si>
  <si>
    <t>AURRA - Make up your mind</t>
  </si>
  <si>
    <t>BLUE FEATHER - Shadows of the night</t>
  </si>
  <si>
    <t>FONZI THORNTON - Beverly</t>
  </si>
  <si>
    <t>SHARON REDD - Beat the street</t>
  </si>
  <si>
    <t>MANHATTANS - Locked up in your love</t>
  </si>
  <si>
    <t>U.K PLAYERS - Loves Gonna Get You</t>
  </si>
  <si>
    <t>DELEGATION - I wantcha back</t>
  </si>
  <si>
    <t>CUBIE BURKE - Down for double</t>
  </si>
  <si>
    <t>KAREN SILVER - Nobody else</t>
  </si>
  <si>
    <t>FONDA RAE - Touch me (all night long)</t>
  </si>
  <si>
    <t>WAR - You got the power</t>
  </si>
  <si>
    <t>ALFONZO - Girl, you are the one</t>
  </si>
  <si>
    <t>GEORGE BENSON - Turn your love around</t>
  </si>
  <si>
    <t>KWICK - You're the kind of girl i like</t>
  </si>
  <si>
    <t>THE SYLVERS - Come back lover, come back</t>
  </si>
  <si>
    <t>MAXINE SINGLETON - You can't run from my love</t>
  </si>
  <si>
    <t>KRYSTAL DAVIS - So smooth</t>
  </si>
  <si>
    <t>DENISE LASALLE - I'm so hot</t>
  </si>
  <si>
    <t>MELBA MOORE - Mind up tonight</t>
  </si>
  <si>
    <t>BOOKER NEWBERRY - I get romantic</t>
  </si>
  <si>
    <t>LINDA LEWIS - Class style</t>
  </si>
  <si>
    <t>COOL RUNNERS - Play the game</t>
  </si>
  <si>
    <t>ARMED GANG - All i want</t>
  </si>
  <si>
    <t>ANTHONY FRANKLIN - Hot number</t>
  </si>
  <si>
    <t>CURTIS HAIRSTON - I want you (all tonight)</t>
  </si>
  <si>
    <t>ATMOSFEAR - Xtra special</t>
  </si>
  <si>
    <t>CAROL WILLIAMS - Have you for my love</t>
  </si>
  <si>
    <t>MARK FISHER - Love situation</t>
  </si>
  <si>
    <t>PHYLLIS HYMAN - Under you spell</t>
  </si>
  <si>
    <t>MERGE - Take it to the top</t>
  </si>
  <si>
    <t>VIKKI LOVE - Stop playing on me</t>
  </si>
  <si>
    <t>FIRST LOVE - It's a mystery to me</t>
  </si>
  <si>
    <t>SYLVIA STRIPLIN - Give me your love</t>
  </si>
  <si>
    <t>FIREFLY - You can lead me</t>
  </si>
  <si>
    <t>ONE WAY - Shine on me</t>
  </si>
  <si>
    <t>CEEJAY - Could this be love</t>
  </si>
  <si>
    <t>SECOND IMAGE - Can't keep holding</t>
  </si>
  <si>
    <t>CROWN HEIGHTS AFFAIR - Let me ride on the waves of your love</t>
  </si>
  <si>
    <t>McFADDEN &amp; WHITEHEAD - One more time</t>
  </si>
  <si>
    <t>PURE ENERGY - You've got the power</t>
  </si>
  <si>
    <t>HIGH FASHION - You're the winner</t>
  </si>
  <si>
    <t>LONI GAMBLE - Could it be love</t>
  </si>
  <si>
    <t>DONNA SUMMER - Summer fever</t>
  </si>
  <si>
    <t>INNER LIFE - Moment of my life</t>
  </si>
  <si>
    <t>BERNICE WATKINS - Let's call it a day</t>
  </si>
  <si>
    <t>DYNASTY - Groove control</t>
  </si>
  <si>
    <t>BOBBY THURSTON - Check out the groove</t>
  </si>
  <si>
    <t>DIANNE MARIE - I've waited much too</t>
  </si>
  <si>
    <t>KAREN YOUNG - You don't know what you got</t>
  </si>
  <si>
    <t>HARVEY MASON - Groovin' you</t>
  </si>
  <si>
    <t>VIN ZEE - Funky bee-bop</t>
  </si>
  <si>
    <t>SUZY Q - Get on up do it again</t>
  </si>
  <si>
    <t>ANTHONY AND THE CAMP - How many lovers</t>
  </si>
  <si>
    <t>ANTHONY AND THE CAMP - What i like</t>
  </si>
  <si>
    <t>CURTIS HAIRSTON - Chillin' out</t>
  </si>
  <si>
    <t>PLASTIC BERTRAND - Stop ou encore</t>
  </si>
  <si>
    <t>THE REAL THING - Can you feel the force</t>
  </si>
  <si>
    <t>GILBERT MONTAGNÉ - On va s'aimer</t>
  </si>
  <si>
    <t>NORMA JEAN WRIGHT - Love attack</t>
  </si>
  <si>
    <t>RAYDIO - Hot stuff</t>
  </si>
  <si>
    <t>ALTON EDWARDS - I just wanna (spend some time with you)</t>
  </si>
  <si>
    <t>BAR-KAYS - She talks to me with her body</t>
  </si>
  <si>
    <t>STARPOINT - Keep on it</t>
  </si>
  <si>
    <t>SHARON REDD - Never give you up</t>
  </si>
  <si>
    <t>KWICK - We ought to be dancing</t>
  </si>
  <si>
    <t>Seulement en LP</t>
  </si>
  <si>
    <t>Rare à trouver, ou LP(même durée)</t>
  </si>
  <si>
    <t>THE JONES GIRLS - You can't have my love</t>
  </si>
  <si>
    <t>LOTTI G - What's it worth</t>
  </si>
  <si>
    <t>THE LIMIT - She's so divine</t>
  </si>
  <si>
    <t>SHARON REDD - You got my love</t>
  </si>
  <si>
    <t>PAUL SIMPSON CONNECTION - Treat her sweeter</t>
  </si>
  <si>
    <t>ROSE ROYCE - Best love</t>
  </si>
  <si>
    <t>A' O' K' - Style</t>
  </si>
  <si>
    <t>HIGH FASHION - Hold on</t>
  </si>
  <si>
    <t>LEW KIRTON - Don't give up on your dream</t>
  </si>
  <si>
    <t>AURRA - Checking you out</t>
  </si>
  <si>
    <t>BRANDI WELLS - Watch out</t>
  </si>
  <si>
    <t>STEPHANIE MILLS - You can't run from my love</t>
  </si>
  <si>
    <t>BABY'S GANG - Happy song</t>
  </si>
  <si>
    <t>En Album</t>
  </si>
  <si>
    <t>AURRA - Like i like it</t>
  </si>
  <si>
    <t>JOHN DAVIS &amp; THE MONSTER ORCHESTRA - Ain't that enough for you</t>
  </si>
  <si>
    <t>THE CHANCE - I wanna freack</t>
  </si>
  <si>
    <t>THE HORN SECTION - Lady shine</t>
  </si>
  <si>
    <t>SINNAMON - Thanks to you</t>
  </si>
  <si>
    <t>EDWIN STARR - Contact</t>
  </si>
  <si>
    <t>CHANGE - It's a girls affair</t>
  </si>
  <si>
    <t>SISTER SLEDGE - Thinking of you</t>
  </si>
  <si>
    <t>EUGENE WILDE - Personality</t>
  </si>
  <si>
    <t>PATRICE RUSHEN - Never gonne give you up</t>
  </si>
  <si>
    <t>SAPPHIRE - Make love to the music</t>
  </si>
  <si>
    <t>CHERYL LYNN - In the night</t>
  </si>
  <si>
    <t>CHIC - I want your love</t>
  </si>
  <si>
    <t>ALICIA MYERS - Appreciation</t>
  </si>
  <si>
    <t>CONWAY &amp; TEMPLE - Love Lights</t>
  </si>
  <si>
    <t>ELEANOR GOODMAN - Sneak preview</t>
  </si>
  <si>
    <t>HAYWOODE - A time like this</t>
  </si>
  <si>
    <t>DEODATO - Keep on movin'[12'' Maxi Full length version]</t>
  </si>
  <si>
    <t>THE S.O.S. BAND - Take your time (do it right)</t>
  </si>
  <si>
    <t>AARON BROOMFIELD - I'm gonna miss you</t>
  </si>
  <si>
    <t>Phil Boogie Times</t>
  </si>
  <si>
    <t>AMRA - Special kind of lovin' (i need what you got)</t>
  </si>
  <si>
    <t>En face B2</t>
  </si>
  <si>
    <t>MAJ Phil Boogie Time</t>
  </si>
  <si>
    <t>Version 4:56, trouver la version (5:25) J'ai</t>
  </si>
  <si>
    <t>DELIGHT - Is it too late</t>
  </si>
  <si>
    <t>BOBBY FARRELL AND THE SCHOOL REBELS Feat BONEY M</t>
  </si>
  <si>
    <t>Bar-Kays – Flying High On Your Love (LP)</t>
  </si>
  <si>
    <t>FIPHI</t>
  </si>
  <si>
    <t>BANGLES - Walk like an egyptian</t>
  </si>
  <si>
    <t>BILLY OCEAN - Are you ready / stay the night</t>
  </si>
  <si>
    <t>BLONDIE - Call me</t>
  </si>
  <si>
    <t>CHOCOLATE MILK - Who's getting it now</t>
  </si>
  <si>
    <t>D-TRAIN - Walk on by</t>
  </si>
  <si>
    <t>D-TRAIN - Music</t>
  </si>
  <si>
    <t>DONNA SUMMER - Hot stuff / Bad Girls</t>
  </si>
  <si>
    <t>KOOL &amp; THE GANG - Hi de hi,hi de ho</t>
  </si>
  <si>
    <t>CHERI - Murphy's law</t>
  </si>
  <si>
    <t>THE WHISPERS - It's love thing</t>
  </si>
  <si>
    <t>MIDNIGHT STAR - Wet my whistle</t>
  </si>
  <si>
    <t>SHALAMAR - The second time around</t>
  </si>
  <si>
    <t>THE WHISPERS - I can make it better</t>
  </si>
  <si>
    <t>MUSIQUE - Keep on jumpin'</t>
  </si>
  <si>
    <t>KASSO / METROPOLE - Dig it / Miss Manhattan</t>
  </si>
  <si>
    <t>Phil Boogie Times (Trouver la version longue)</t>
  </si>
  <si>
    <t>ABC - The look of love (USA Remix - Dub Version)</t>
  </si>
  <si>
    <t>Phil Boogie Times (original chez FIPHI)</t>
  </si>
  <si>
    <t>DAN HARTMAN - Instant replay</t>
  </si>
  <si>
    <t>DARYL HALL &amp; JOHN OATES - Say it isn't so / I can't go for that</t>
  </si>
  <si>
    <t>DEODATO - S.o.s. fire in the sky (promo)</t>
  </si>
  <si>
    <t>GINO SOCCIO - It's all right</t>
  </si>
  <si>
    <t>LIPPS INC - Funkytown</t>
  </si>
  <si>
    <t>Commander sur Vinted le 03/05/2025</t>
  </si>
  <si>
    <t>FIPHI (Album)</t>
  </si>
  <si>
    <t>FIPHI (Face B de Say yeah)</t>
  </si>
  <si>
    <t>Dans Album The glow of love</t>
  </si>
  <si>
    <t>FIPHI (Dans album Face to Face)</t>
  </si>
  <si>
    <t>Commander sur LBC le 05/05/2025</t>
  </si>
  <si>
    <t>Commandé sur Discogs (10+ 9 de port)</t>
  </si>
  <si>
    <t>Commandé sur Discogs (16 + 7 de port)</t>
  </si>
  <si>
    <t>QUEEN - I want to break free</t>
  </si>
  <si>
    <t>Commandé sur Discogs (19 + 6,30 de port)</t>
  </si>
  <si>
    <t>SKYY - Here's To You</t>
  </si>
  <si>
    <t>Seulement en Album</t>
  </si>
  <si>
    <t>FANTASY - You're too late</t>
  </si>
  <si>
    <t>Dans Album ABBA Greatest Hits Vol.2</t>
  </si>
  <si>
    <t>CHERYL LYNN - Keep It Hot</t>
  </si>
  <si>
    <t>THE LIMIT - Destiny[12" Version face B]</t>
  </si>
  <si>
    <t>1 qui craque et 1 qui est bon</t>
  </si>
  <si>
    <t>FIPHI (Face b I forgot remix)</t>
  </si>
  <si>
    <t>THE TEMPTATIONS - I'm fascinated / treat her like a lady (club mix)</t>
  </si>
  <si>
    <t>FIPHI ( Version française) Kdo</t>
  </si>
  <si>
    <t>Dans Album</t>
  </si>
  <si>
    <t>Pays / EU</t>
  </si>
  <si>
    <t xml:space="preserve">Pays / US </t>
  </si>
  <si>
    <t>GAME - Gotta take your love / GWEN GUTHRIE - It should have been you</t>
  </si>
  <si>
    <t>AGO - For you / VIVIEN VEE - Wanna feel</t>
  </si>
  <si>
    <t>TRACY WEBER - Sure shot</t>
  </si>
  <si>
    <t>Achat Fréro</t>
  </si>
  <si>
    <t>Ray Parker Jr &amp; Raydio - Still In The Groove</t>
  </si>
  <si>
    <t>FIPHI (Dans allbum Face to Face)</t>
  </si>
  <si>
    <t>ZE-BRASS - Feels so good</t>
  </si>
  <si>
    <t>MICHAEL WYCOFF - Looking up to you</t>
  </si>
  <si>
    <t>DYNASTY - I've just begun to love you</t>
  </si>
  <si>
    <t>THE TIME - Get it up</t>
  </si>
  <si>
    <t>The Dukes Bugatti &amp; Musker - Fate</t>
  </si>
  <si>
    <t>Seulement sur l'Album</t>
  </si>
  <si>
    <t>SHALAMAR - Full of fire</t>
  </si>
  <si>
    <t>D'BORA - No sense</t>
  </si>
  <si>
    <t>KANO / JIMMY ROSS - Can't hold back (your loving) / Fall into a trance</t>
  </si>
  <si>
    <t>CHRIS LUIS - The heart of the city</t>
  </si>
  <si>
    <t>Vinted</t>
  </si>
  <si>
    <t xml:space="preserve">Vinted </t>
  </si>
  <si>
    <t>THE FLIRTS - Passion</t>
  </si>
  <si>
    <t>SILENT CIRCLE - Touch in the night</t>
  </si>
  <si>
    <t>STACY LATTISAW - Jump to the beat</t>
  </si>
  <si>
    <t>D-TRAIN - Trying to get over</t>
  </si>
  <si>
    <t>MIKKI - Dance lover</t>
  </si>
  <si>
    <t>THE S.O.S. BAND - Just be good to me</t>
  </si>
  <si>
    <t>CAROL WILLIAMS - No one can do it</t>
  </si>
  <si>
    <t>ALICIA MYERS - I want to thank you</t>
  </si>
  <si>
    <t>FAT LARRY'S BAND - Be my lady</t>
  </si>
  <si>
    <t>Huey Lewis &amp; The News - The Power Of Love</t>
  </si>
  <si>
    <t>THE ROMANTICS - Talking in your sleep</t>
  </si>
  <si>
    <t>THP ORCHESTRA - Good to me</t>
  </si>
  <si>
    <t>SUPERFUNK - Come back</t>
  </si>
  <si>
    <t>Vinted(voir Gene Chandler Face 2)</t>
  </si>
  <si>
    <t>En Album Vinted</t>
  </si>
  <si>
    <t>EDDY HUNTINGTON - U.R.S.S</t>
  </si>
  <si>
    <t>LBC</t>
  </si>
  <si>
    <t>Voir Face B de Edwin Starr</t>
  </si>
  <si>
    <t>Funky Collector Part 5</t>
  </si>
  <si>
    <t>KOOL &amp; THE GANG - Be my lady / VIN ZEE - Funkybebop</t>
  </si>
  <si>
    <t>Funky Collector Part 16 - Discogs</t>
  </si>
  <si>
    <t>Funky Collector Part 6 -  LBC</t>
  </si>
  <si>
    <t>Funky Collector Part 1 -  LBC</t>
  </si>
  <si>
    <t>A commander sur Discogs</t>
  </si>
  <si>
    <t>Fr</t>
  </si>
  <si>
    <t>ABBA - Voulez-vous</t>
  </si>
  <si>
    <t>ALAIN CHAMFORT - Déchaine moi</t>
  </si>
  <si>
    <t>A commander</t>
  </si>
  <si>
    <t>Thibaud</t>
  </si>
  <si>
    <t>BARBARA NORRIS - Heavy hitter</t>
  </si>
  <si>
    <t>EDDY ROSEMOND - Wake up &amp; move</t>
  </si>
  <si>
    <t>KOOL &amp; THE GANG - Emergency</t>
  </si>
  <si>
    <t>DIANA ROSS - Chain reaction</t>
  </si>
  <si>
    <t>TRAMAINE - In the morning time</t>
  </si>
  <si>
    <t>NV - It's alright</t>
  </si>
  <si>
    <t>FIPHI / Thibaud 15€</t>
  </si>
  <si>
    <t>KOOL &amp; THE GANG - Take my heart</t>
  </si>
  <si>
    <t>SHANA DOUGLAS - My love ir right</t>
  </si>
  <si>
    <t>DELEGATION - Heartache No. 9 / Stand Up (Reach For The Sky)</t>
  </si>
  <si>
    <t>J'ai le remix 87, trouver l'original</t>
  </si>
  <si>
    <t>BILLY IDOL - Flesh for fantasy</t>
  </si>
  <si>
    <t>CHANGE - This is your time</t>
  </si>
  <si>
    <t>DETROIT SPINNERS - I'll be around</t>
  </si>
  <si>
    <t>INSTANT FUNK - I got my mind make up</t>
  </si>
  <si>
    <t>RUFUS &amp; CHAKA KHAN - Ain't nobody</t>
  </si>
  <si>
    <t>COLORS - Am i gonna be the one</t>
  </si>
  <si>
    <t>LOVE CLUB - Hot summer nights</t>
  </si>
  <si>
    <t>ROGER - Do it roger</t>
  </si>
  <si>
    <t>Fréro</t>
  </si>
  <si>
    <t>Fréro Face B1</t>
  </si>
  <si>
    <t>Fréro Face B2</t>
  </si>
  <si>
    <t>Lien Discogs</t>
  </si>
  <si>
    <t>https://www.discogs.com/release/2238306-ABBA-Voulez-Vous-Does-Your-Mother-Know</t>
  </si>
  <si>
    <t>https://www.discogs.com/release/2952588-Alain-Chamfort-D%C3%A9cha%C3%AEne-moi</t>
  </si>
  <si>
    <t>BILL BAXTER - Ambrasse moi idiot!</t>
  </si>
  <si>
    <t>https://www.discogs.com/release/797208-Clockwork-Im-Your-Candy-Girl</t>
  </si>
  <si>
    <t>https://www.discogs.com/release/245747-A-O-K-Style</t>
  </si>
  <si>
    <t>Pas sur ???</t>
  </si>
  <si>
    <t>https://www.discogs.com/release/1051595-Alain-Chamfort-Manureva</t>
  </si>
  <si>
    <t>https://www.discogs.com/release/1360434-Alfonzo-Girl-You-Are-The-One</t>
  </si>
  <si>
    <t>https://www.discogs.com/release/610580-Alicia-Myers-Appreciation</t>
  </si>
  <si>
    <t>https://www.discogs.com/release/81337-Alicia-Myers-You-Get-The-Best-From-Me-Say-Say-Say</t>
  </si>
  <si>
    <t>En face B de "You get the best from me (say, say, say)"</t>
  </si>
  <si>
    <t>https://www.discogs.com/release/1319826-Alphonse-Mouzon-Im-Glad-That-Youre-Here</t>
  </si>
  <si>
    <t>Maxi et Album</t>
  </si>
  <si>
    <t>https://www.discogs.com/release/1279133-Arlana-You-Cant-Keep-Breaking-My-Heart</t>
  </si>
  <si>
    <t>Part1 et part2 sur le même maxi</t>
  </si>
  <si>
    <t>https://www.discogs.com/release/115996-Atlantic-Starr-Circles</t>
  </si>
  <si>
    <t>https://www.discogs.com/release/705469-Atmosfear-Xtra-Special</t>
  </si>
  <si>
    <t>https://www.discogs.com/release/704467-Aurra-Make-Up-Your-Mind-Such-A-Feeling</t>
  </si>
  <si>
    <t>https://www.discogs.com/release/1360804-BT-Express-Let-Me-Be-The-One-Midnight-Beat</t>
  </si>
  <si>
    <t>Difficile à trouver en Germany "bangbros73"</t>
  </si>
  <si>
    <t>https://www.discogs.com/release/742194-Bananarama-Love-In-The-First-Degree</t>
  </si>
  <si>
    <t>BANANARAMA - Love in the first degree[Maxi]</t>
  </si>
  <si>
    <t>https://www.discogs.com/release/854571-Bar-Kays-She-Talks-To-Me-With-Her-Body-Re-mix</t>
  </si>
  <si>
    <t>https://www.discogs.com/release/1050905-Bernice-Watkins-Lets-Call-It-A-Day</t>
  </si>
  <si>
    <t>https://www.discogs.com/release/1284413-Blue-Feather-Shadows-Of-The-Night-Club-Mix</t>
  </si>
  <si>
    <t>Seulement sur l'Album "Livin' For The Beat"</t>
  </si>
  <si>
    <t>BOBBY BROOM - Find yourself</t>
  </si>
  <si>
    <t>https://www.discogs.com/release/711379-Bobby-Broom-Livin-For-The-Beat</t>
  </si>
  <si>
    <t>https://www.discogs.com/release/1277842-Booker-Newberry-III-I-Get-Romantic</t>
  </si>
  <si>
    <t>https://www.discogs.com/release/5090004-The-Dukes-Bugatti-Musker</t>
  </si>
  <si>
    <t>Seulement sur l'Album "Bugatti &amp; Musker"</t>
  </si>
  <si>
    <t>BUGATTI &amp; MUSKER - Fate</t>
  </si>
  <si>
    <t>https://www.discogs.com/release/1274661-Buzy-Body-Physical</t>
  </si>
  <si>
    <t>https://www.discogs.com/release/373825-Carol-Williams-No-One-Can-Do-It-Like-You</t>
  </si>
  <si>
    <t>CARRIE LUCAS - Dance with you</t>
  </si>
  <si>
    <t>https://www.discogs.com/release/1952963-Carrie-Lucas-Dance-With-You-Simpler-Days</t>
  </si>
  <si>
    <t>https://www.discogs.com/release/1690009-Ceejay-Could-This-Be-Love</t>
  </si>
  <si>
    <t>https://www.discogs.com/release/2430221-Central-Line-Dont-Tell-Me</t>
  </si>
  <si>
    <t>https://www.discogs.com/release/1398896-Change-Hold-Tight</t>
  </si>
  <si>
    <t>https://www.discogs.com/release/1198904-Change-This-Is-Your-Time</t>
  </si>
  <si>
    <t>https://www.discogs.com/release/10159605-Charles-Earland-Coming-To-You-Live-I-Will-Never-Tell</t>
  </si>
  <si>
    <t>https://www.discogs.com/release/2142320-Cheryl-Lynn-In-The-Night</t>
  </si>
  <si>
    <t>CHERYL LYNN - If you'll be true to me</t>
  </si>
  <si>
    <t>Seulement sur l'Album "In The Night"</t>
  </si>
  <si>
    <t>https://www.discogs.com/release/1658258-Cheryl-Lynn-In-The-Night</t>
  </si>
  <si>
    <t>https://www.discogs.com/release/421827-Cheryl-Lynn-Keep-It-Hot</t>
  </si>
  <si>
    <t>https://www.discogs.com/release/1745132-Chic-Everybody-Dance-Dance-Dance-Dance-Yowsah-Yowsah-Yowsah</t>
  </si>
  <si>
    <t>https://www.discogs.com/release/100032-Chic-I-Want-Your-Love-Funny-Bone</t>
  </si>
  <si>
    <t>Introuvable 7"</t>
  </si>
  <si>
    <t>https://www.discogs.com/release/133840-Colors-Am-I-Gonna-Be-The-One</t>
  </si>
  <si>
    <t>https://www.discogs.com/release/748557-Columbus-Circle-If-You-Read-My-Mind</t>
  </si>
  <si>
    <t>https://www.discogs.com/release/1601285-Con-Funk-Shun-7</t>
  </si>
  <si>
    <t>https://www.discogs.com/release/1421952-Con-Funk-Shun-Miss-Got-The-Body</t>
  </si>
  <si>
    <t>https://www.discogs.com/release/480657-Conway-And-Temple-You-Can-Lay-Your-Head-On-My-Shoulder-Love-Lights</t>
  </si>
  <si>
    <t>https://www.discogs.com/release/1162590-Creation-Im-Going-Up</t>
  </si>
  <si>
    <t>https://www.discogs.com/release/1796017-Crown-Heights-Affair-Let-Me-Ride-On-The-Wave-Of-Your-Love</t>
  </si>
  <si>
    <t>https://www.discogs.com/release/1289870-Cubie-Burke-Down-For-Double</t>
  </si>
  <si>
    <t>https://www.discogs.com/release/624986-Dayton-Out-Tonight</t>
  </si>
  <si>
    <t>https://www.discogs.com/release/4723572-Daft-Punk-Get-Lucky-Daft-Punk-Remix</t>
  </si>
  <si>
    <t>https://www.discogs.com/release/239036-DBora-No-Sense</t>
  </si>
  <si>
    <t>https://www.discogs.com/release/1421962-Delegation-I-Wantcha-Back-12th-House</t>
  </si>
  <si>
    <t>https://www.discogs.com/release/151084-Delegation-Heartache-No-9</t>
  </si>
  <si>
    <t>https://www.discogs.com/release/208810-Delegation-You-And-I</t>
  </si>
  <si>
    <t>https://www.discogs.com/release/230967-Dianne-Marie-Ive-Waited-Much-Too-Long</t>
  </si>
  <si>
    <t>https://www.discogs.com/release/4565109-Dionne-Warwick-Heartbreaker</t>
  </si>
  <si>
    <t>https://www.discogs.com/release/21461563-D%C3%B5lette-McDonald-Xtra-Special</t>
  </si>
  <si>
    <t>DOLETTE McDONALD - (Xtra) special</t>
  </si>
  <si>
    <t>https://www.discogs.com/release/837053-Dolos-Night-So-Right</t>
  </si>
  <si>
    <t>https://www.discogs.com/release/1065714-Don-Ray-Got-To-Have-Loving</t>
  </si>
  <si>
    <t>https://www.discogs.com/release/1842595-Donald-Byrd-Love-Has-Come-Around</t>
  </si>
  <si>
    <t>DONALD BYRD - Love has come around</t>
  </si>
  <si>
    <t>Seulement sur l'Album "Four Seasons Of Love"</t>
  </si>
  <si>
    <t>https://www.discogs.com/release/29569465-D-Train-Tryin-To-Get-Over</t>
  </si>
  <si>
    <t>Introuvable (1 seul au Canada)</t>
  </si>
  <si>
    <t>https://www.discogs.com/release/236801-Dynasty-Do-Me-Right</t>
  </si>
  <si>
    <t>https://www.discogs.com/release/403633-Dynasty-Groove-Control</t>
  </si>
  <si>
    <t>https://www.discogs.com/release/1392676-Eleanor-Goodman-Sneak-Preview</t>
  </si>
  <si>
    <t>Seulement en CD Introuvable</t>
  </si>
  <si>
    <t>https://www.discogs.com/release/2249780-Enois-Scroggins-Funk-E</t>
  </si>
  <si>
    <t>https://www.discogs.com/release/3492979-Charden-L%C3%89t%C3%A9-Sra-Chaud</t>
  </si>
  <si>
    <t>https://www.discogs.com/release/508506-Eugene-Wilde-Personality</t>
  </si>
  <si>
    <t>https://www.discogs.com/release/1196365-Exquisite-Taste-Its-You-Thats-Happening</t>
  </si>
  <si>
    <t>FAMILY BROWN - I'm Gonna Getcha</t>
  </si>
  <si>
    <t>https://www.discogs.com/release/794034-Family-Brown-Im-Gonna-Getcha</t>
  </si>
  <si>
    <t>https://www.discogs.com/release/1201894-Fantasy-Youre-Too-Late</t>
  </si>
  <si>
    <t>https://www.discogs.com/release/1684317-Finesse-Feel-It</t>
  </si>
  <si>
    <t>https://www.discogs.com/release/7399983-Finesse-Together</t>
  </si>
  <si>
    <t>https://www.discogs.com/release/1117386-Finis-Henderson-Skip-To-My-Lou</t>
  </si>
  <si>
    <t>https://www.discogs.com/release/990875-Firefly-You-Can-Lead-Me-Show-Me-Tonight</t>
  </si>
  <si>
    <t>https://www.discogs.com/release/2349709-Five-OClock-When-The-Cats-Away</t>
  </si>
  <si>
    <t>https://www.discogs.com/release/253104-Fonda-Rae-Touch-Me-All-Night-Long</t>
  </si>
  <si>
    <t>https://www.discogs.com/release/1465995-Fonzi-Thornton-Beverly</t>
  </si>
  <si>
    <t>https://www.discogs.com/release/2543380-Fran%C3%A7ois-Val%C3%A9ry-Aimons-nous-Vivants-Sp%C3%A9cial-Remix-Club</t>
  </si>
  <si>
    <t>https://www.discogs.com/release/1127903-Freddy-James-Everybody-Get-Up-And-Boogie-Disco-Version</t>
  </si>
  <si>
    <t>https://www.discogs.com/release/1828925-G-C-Cameron-Wait-Until-Tomorrow</t>
  </si>
  <si>
    <t>G.C. CAMERON - Wait Until Tomorrow(7")</t>
  </si>
  <si>
    <t>https://www.discogs.com/release/18189442-George-Benson-Turn-Your-Love-Around</t>
  </si>
  <si>
    <t>https://www.discogs.com/release/524731-Gino-Soccio-What-You-Feel-Is-Real-Hold-Tight</t>
  </si>
  <si>
    <t>GWEN McCRAE - Keep the fire burning</t>
  </si>
  <si>
    <t>https://www.discogs.com/release/1872566-Gwen-McCrae-Keep-The-Fire-Burning</t>
  </si>
  <si>
    <t>GWEN McCRAE - Doin' it[LP Version]</t>
  </si>
  <si>
    <t>https://www.discogs.com/release/328002-Gwen-McCrae-Doin-It</t>
  </si>
  <si>
    <t>https://www.discogs.com/release/110989-Harvey-Mason-Groovin-You</t>
  </si>
  <si>
    <t>https://www.discogs.com/release/245882-Haywoode-A-Time-Like-This-Extended-Version-Part-1</t>
  </si>
  <si>
    <t>https://www.discogs.com/release/1430037-Herley-Johnson-Jr-Do-It</t>
  </si>
  <si>
    <t>https://www.discogs.com/release/2445205-Howard-Johnson-Say-You-Wanna</t>
  </si>
  <si>
    <t>https://www.discogs.com/release/234189-Inner-Life-Aint-No-Mountain-High-Enough</t>
  </si>
  <si>
    <t>https://www.discogs.com/release/79645-Inner-Life-Im-Caught-Up-In-A-One-Night-Love-Affair</t>
  </si>
  <si>
    <t>https://www.discogs.com/release/114430-Inner-Life-Moment-Of-My-Life</t>
  </si>
  <si>
    <t>https://www.discogs.com/release/989965-Intrigue-No-Turning-Back-Call-Of-The-Heart</t>
  </si>
  <si>
    <t>https://www.discogs.com/release/187568-Irene-Cara-Fame-Special-Remix</t>
  </si>
  <si>
    <t>IRENE CARA - Fame[Maxi]</t>
  </si>
  <si>
    <t>https://www.discogs.com/release/10274-Jamiroquai-Cosmic-Girl</t>
  </si>
  <si>
    <t>https://www.discogs.com/release/110198-Jamiroquai-Love-Foolosophy-Bini-Martini-Remixes</t>
  </si>
  <si>
    <t>https://www.discogs.com/release/3562650-Jean-Jacques-Goldman-Quand-La-Musique-Est-Bonne</t>
  </si>
  <si>
    <t>https://www.discogs.com/release/14636389-Jean-Luc-Lahaye-Femme-Que-Jaime</t>
  </si>
  <si>
    <t>Seulement l'Album</t>
  </si>
  <si>
    <t>https://www.discogs.com/release/4636343-Jerome-Jasper-Ill-Do-Anything-For-You</t>
  </si>
  <si>
    <t>https://www.discogs.com/release/1050917-Jessie-Rogers-One-Monkey-Dont-Stop-No-Show</t>
  </si>
  <si>
    <t>https://www.discogs.com/release/546910-Johnson-And-Youngblood-The-Funk-Is-In-The-Music</t>
  </si>
  <si>
    <t>JOHNSON AND YOUNGBLOOD - The funk is in the music</t>
  </si>
  <si>
    <t>https://www.discogs.com/release/921319-Julie-Pietri-Eve-Leve-Toi</t>
  </si>
  <si>
    <t>https://www.discogs.com/release/1164986-Julien-Clerc-C%C5%93ur-De-Rocker</t>
  </si>
  <si>
    <t>https://www.discogs.com/release/2300851-Julien-Clerc-Melissa</t>
  </si>
  <si>
    <t>https://www.discogs.com/release/847970-Julius-Brown-Sho-Nuff-Sure-Look-Good</t>
  </si>
  <si>
    <t>https://www.discogs.com/release/2124876-Jupiter-Band-Sarah-Love</t>
  </si>
  <si>
    <t>https://www.discogs.com/release/1464173-Karen-Silver-Nobody-Else</t>
  </si>
  <si>
    <t>https://www.discogs.com/release/541293-Karen-Young-You-Dont-Know-What-You-Got</t>
  </si>
  <si>
    <t>https://www.discogs.com/release/1673546-Khemistry-I-Cant-Lose-With-The-Stuff-I-Use</t>
  </si>
  <si>
    <t>Introuvable, seulement en 7" et trop cher</t>
  </si>
  <si>
    <t>https://www.discogs.com/release/1841878-Kevin-Johnson-You-Walked-Out-On-Me</t>
  </si>
  <si>
    <t>https://www.discogs.com/release/3355164-Khemistry-I-Cant-Win-For-Losing</t>
  </si>
  <si>
    <t>https://www.discogs.com/release/978197-Kinsman-Dazz-Keep-On-Rockin</t>
  </si>
  <si>
    <t>https://www.discogs.com/release/12039686-Krystal-Davis-So-Smooth</t>
  </si>
  <si>
    <t>https://www.discogs.com/release/1422050-Kwick-We-Ought-To-Be-Dancing</t>
  </si>
  <si>
    <t>https://www.discogs.com/release/1606877-Kwick-To-The-Point</t>
  </si>
  <si>
    <t>https://www.discogs.com/release/1420249-Lenny-Williams-Messing-With-My-Mind</t>
  </si>
  <si>
    <t>https://www.discogs.com/release/1321006-Leo-Sayer-Thunder-In-My-Heart-Disco-Version</t>
  </si>
  <si>
    <t>https://www.discogs.com/release/1492119-Les-Femmes-Yes-You-Thrill-Me</t>
  </si>
  <si>
    <t>https://www.discogs.com/release/242471-Lew-Kirton-Dont-Give-Up-Your-Dream-Hang-On-In-There</t>
  </si>
  <si>
    <t>https://www.discogs.com/release/571794-Lew-Kirton-Talk-To-Me</t>
  </si>
  <si>
    <t>https://www.discogs.com/release/99746-Loleatta-Holloway-Love-Sensation</t>
  </si>
  <si>
    <t>https://www.discogs.com/release/577562-Love-Club-Hot-Summer-Nights</t>
  </si>
  <si>
    <t>Seulement l'album</t>
  </si>
  <si>
    <t>https://www.discogs.com/master/130344-Luther-Vandross-Never-Too-Much</t>
  </si>
  <si>
    <t>https://www.discogs.com/release/2261036-The-Manhattans-Forever-By-Your-Side</t>
  </si>
  <si>
    <t>https://www.discogs.com/release/1148537-Marc-Lavoine-Le-Parking-Des-Anges</t>
  </si>
  <si>
    <t>https://www.discogs.com/release/469977-Mark-Fisher-Featuring-Dotty-Green-Love-Situation</t>
  </si>
  <si>
    <t>https://www.discogs.com/release/214950-Mass-Production-Come-And-Get-Some-Of-This</t>
  </si>
  <si>
    <t>https://www.discogs.com/release/3188747-McFadden-Whitehead-One-More-Time</t>
  </si>
  <si>
    <t>https://www.discogs.com/release/404478-Melba-Moore-Mind-Up-Tonight-Special-Remix</t>
  </si>
  <si>
    <t>https://www.discogs.com/release/6032524-Melba-Moore-Take-My-Love-</t>
  </si>
  <si>
    <t>https://www.discogs.com/release/2632930-Merge-Take-It-To-The-Top-Volcanic-Voodoo</t>
  </si>
  <si>
    <t>https://www.discogs.com/release/30865281-Michael-Wycoff-Looking-Up-To-You-A-Mike-Maurro-Remix</t>
  </si>
  <si>
    <t>https://www.discogs.com/release/2326456-Michel-Sardou-%C3%8Atre-Une-Femme-97-Femme-Des-Ann%C3%A9es-80</t>
  </si>
  <si>
    <t>https://www.discogs.com/release/10322140-Michel-Sardou-Les-Lacs-Du-Connemara</t>
  </si>
  <si>
    <t>https://www.discogs.com/release/568053-Midnight-Star-Wet-My-Whistle</t>
  </si>
  <si>
    <t>https://www.discogs.com/release/3999391-Miguel-Campbell-Back-In-Flight-School</t>
  </si>
  <si>
    <t>https://www.discogs.com/release/3116452-Miguel-Campbell-Baby-I-Got-It</t>
  </si>
  <si>
    <t>https://www.discogs.com/release/245931-Mikki-Featuring-Starz-Dance-Lover</t>
  </si>
  <si>
    <t>Version 7:10</t>
  </si>
  <si>
    <t>https://www.discogs.com/release/1011625-Mikki-Itching-For-Love</t>
  </si>
  <si>
    <t>https://www.discogs.com/release/5797951-Myron-E-Do-It-Do-It-Disco</t>
  </si>
  <si>
    <t>https://www.discogs.com/release/10580174-Neddy-Smith-Give-It-Up</t>
  </si>
  <si>
    <t>https://www.discogs.com/release/1826184-Norma-Jean-Wright-Love-Attack</t>
  </si>
  <si>
    <t>https://www.discogs.com/release/389502-One-Way-Shine-On-Me</t>
  </si>
  <si>
    <t>https://www.discogs.com/release/225189-The-Paul-Simpson-Connection-Treat-Her-Sweeter</t>
  </si>
  <si>
    <t>https://www.discogs.com/release/5510511-Pharrell-Williams-Happy</t>
  </si>
  <si>
    <t>https://www.discogs.com/release/1122088-Phyllis-Hyman-Under-Your-Spell</t>
  </si>
  <si>
    <t>https://www.discogs.com/release/2161010-Queen-Another-One-Bites-The-Dust</t>
  </si>
  <si>
    <t>https://www.discogs.com/release/470521-Rainbow-Team-Bite-The-Apple-Hope-He-Wants</t>
  </si>
  <si>
    <t>https://www.discogs.com/release/3114099-Ray-Parker-Jr-And-Raydio-A-Woman-Needs-Love-Just-Like-You-Do-Still-In-The-Groove</t>
  </si>
  <si>
    <t>https://www.discogs.com/release/1960933-Raydio-Rock-On</t>
  </si>
  <si>
    <t>https://www.discogs.com/release/70007-Regrets-Je-Ne-Veux-Pas-Rentrer-Chez-Moi-Seule</t>
  </si>
  <si>
    <t>https://www.discogs.com/release/1510005-Rick-Smith-We-Should-Be-Lovers</t>
  </si>
  <si>
    <t>https://www.discogs.com/release/5264500-Risse-Give-It-Up-Shake-It-Down</t>
  </si>
  <si>
    <t>https://www.discogs.com/release/1134347-Rocket-Come-Together</t>
  </si>
  <si>
    <t>Roger Troutman</t>
  </si>
  <si>
    <t>https://www.discogs.com/release/1045298-Roger-Do-It-Roger-Blue-A-Tribute-To-The-Blues</t>
  </si>
  <si>
    <t>https://www.discogs.com/release/1829775-Ron-Banks-Truly-Bad</t>
  </si>
  <si>
    <t>RON E. RICHARDSON - Ooh we babe</t>
  </si>
  <si>
    <t>https://www.discogs.com/release/3603081-Ron-Richardson-Ooh-Wee-Babe</t>
  </si>
  <si>
    <t>Canada = 1087€</t>
  </si>
  <si>
    <t>https://www.discogs.com/release/804510-Rose-Laurens-Africa</t>
  </si>
  <si>
    <t>https://www.discogs.com/release/1294098-Rose-Royce-Best-Love</t>
  </si>
  <si>
    <t>https://www.discogs.com/release/1060592-Sandra-In-The-Heat-Of-The-Night</t>
  </si>
  <si>
    <t>https://www.discogs.com/release/1530038-Sapphire-Rock-Me-Slowly-Make-Love-To-The-Music</t>
  </si>
  <si>
    <t>https://www.discogs.com/release/415823-Second-Image-Cant-Keep-Holding-On</t>
  </si>
  <si>
    <t>https://www.discogs.com/release/427126-Shalamar-Full-Of-Fire-Lets-Find-Time-For-Love</t>
  </si>
  <si>
    <t>https://www.discogs.com/release/260729-Shalamar-Make-That-Move</t>
  </si>
  <si>
    <t>https://www.discogs.com/release/167451-Shalamar-The-Second-Time-Around</t>
  </si>
  <si>
    <t>https://www.discogs.com/release/81993-Sharon-Redd-Never-Give-You-Up-Beat-The-Street</t>
  </si>
  <si>
    <t>https://www.discogs.com/release/241523-Sharon-Redd-You-Got-My-Love-Can-You-Handle-It</t>
  </si>
  <si>
    <t>https://www.discogs.com/release/788629-Shot-Main-Thing</t>
  </si>
  <si>
    <t>https://www.discogs.com/release/924166-Silent-Circle-Touch-In-The-Night-Crash-Version</t>
  </si>
  <si>
    <t>https://www.discogs.com/release/800559-Silver-Convention-Get-Up-And-Boogie-Fly-Robin-Fly</t>
  </si>
  <si>
    <t>https://www.discogs.com/release/206333-Sister-Sledge-Thinking-Of-You</t>
  </si>
  <si>
    <t>https://www.discogs.com/release/2721006-Smith-Whitaker-Company-Dont-Play-No-Games-With-My-Love</t>
  </si>
  <si>
    <t>https://www.discogs.com/release/4658101-Smokey-Robinson-Just-To-See-Her</t>
  </si>
  <si>
    <t>https://www.discogs.com/release/1757136-Starpoint-Keep-On-It</t>
  </si>
  <si>
    <t>https://www.discogs.com/release/1055702-Status-Quo-In-The-Army-Now</t>
  </si>
  <si>
    <t>https://www.discogs.com/release/900655-Supertramp-Breakfast-In-America</t>
  </si>
  <si>
    <t>Seulement sur l'album</t>
  </si>
  <si>
    <t>https://www.discogs.com/release/103533-Surface-Happy-Extended-Version</t>
  </si>
  <si>
    <t>Trop court</t>
  </si>
  <si>
    <t>https://www.discogs.com/release/610170-Sweet-Ecstasy-Pull-Our-Love-Together</t>
  </si>
  <si>
    <t>https://www.discogs.com/release/9309134-Curiosity-I-Need-Your-Lovin</t>
  </si>
  <si>
    <t>TEENA MARIE - I need your loving</t>
  </si>
  <si>
    <t>https://www.discogs.com/release/3259266-Kenny-Claiborne-And-The-Armed-Gang-The-Armed-Gang</t>
  </si>
  <si>
    <t>https://www.discogs.com/release/37121607-The-Dukes-The-Dukes-Bugatti-Musker</t>
  </si>
  <si>
    <t>https://www.discogs.com/release/1142111-Oattes-Van-Schaik-Love-Attaxx-Extended-Remix</t>
  </si>
  <si>
    <t>https://www.discogs.com/release/968099-Orient-Express-Shine-On</t>
  </si>
  <si>
    <t>ORIENT EXPRESS - Shine on</t>
  </si>
  <si>
    <t>https://www.discogs.com/release/805588-The-Romantics-Talking-In-Your-Sleep-Special-Remix</t>
  </si>
  <si>
    <t>https://www.discogs.com/release/539624-Ronnie-McNeir-The-Ronnie-McNeir-Experience</t>
  </si>
  <si>
    <t>J'ai en album</t>
  </si>
  <si>
    <t>https://www.discogs.com/release/182083-The-SOS-Band-Just-Be-Good-To-Me</t>
  </si>
  <si>
    <t>https://www.discogs.com/release/2045627-Sylvers-Come-Back-Lover-Come-Back</t>
  </si>
  <si>
    <t>https://www.discogs.com/release/1950253-The-Time-Get-It-Up</t>
  </si>
  <si>
    <t>Sinon même temps sur l'album</t>
  </si>
  <si>
    <t>https://www.discogs.com/release/1025159-The-Whispers-This-Kind-Of-Lovin</t>
  </si>
  <si>
    <t>THELMA HOUSTON - (I guess) it must be love</t>
  </si>
  <si>
    <t>https://www.discogs.com/release/1151984-Thelma-Houston-I-Guess-It-Must-Be-Love</t>
  </si>
  <si>
    <t>https://www.discogs.com/release/539552-Toto-Georgy-Porgy</t>
  </si>
  <si>
    <t>En album</t>
  </si>
  <si>
    <t>https://www.discogs.com/release/5642912-UK-Players-Loves-Gonna-Get-You</t>
  </si>
  <si>
    <t>Sapin moins cher</t>
  </si>
  <si>
    <t>https://www.discogs.com/release/4624756-Unity-Heat-Your-Body-Up-Special-Remixed-Extended-Version</t>
  </si>
  <si>
    <t>https://www.discogs.com/release/225190-Vikki-Love-Stop-Playing-On-Me</t>
  </si>
  <si>
    <t>https://www.discogs.com/release/1228756-Del-Richardson-Soul-On-Fire-New-Vocal-Disco-Version</t>
  </si>
  <si>
    <t>https://www.discogs.com/release/1807899-WQBC-Love-Me-Anyway</t>
  </si>
  <si>
    <t>https://www.discogs.com/release/837849-Ze-Brass-Feels-So-Good</t>
  </si>
  <si>
    <t>https://www.discogs.com/release/2064605-Zena-Dejonay-Ive-Got-To-Find-A-Way</t>
  </si>
  <si>
    <t>https://www.discogs.com/release/2106174-Zinga-Zinga</t>
  </si>
  <si>
    <t>Seulement en album 90€</t>
  </si>
  <si>
    <t>https://www.discogs.com/release/2146190-Breakbot-Baby-Im-Yours</t>
  </si>
  <si>
    <t>BREAKBOT FEAT. IRFANE - Baby i'm yours[12'' Version]</t>
  </si>
  <si>
    <t>https://www.discogs.com/release/4314139-Bruno-Mars-Unorthodox-Jukebox</t>
  </si>
  <si>
    <t>Seulement sur l'album "Unorthodox Jukebox"</t>
  </si>
  <si>
    <t>https://www.discogs.com/release/14543124-The-Chocolate-Buttermilk-Band-Aint-No-Way</t>
  </si>
  <si>
    <t>FIPHI (A voir si pas à la maison)</t>
  </si>
  <si>
    <t>https://www.discogs.com/fr/release/1417628-Bar-Kays-Flying-High-On-Your-Love</t>
  </si>
  <si>
    <t>I-Level - Minefield</t>
  </si>
  <si>
    <t>https://www.discogs.com/fr/release/53055-I-Level-Minefield</t>
  </si>
  <si>
    <t>I-Level - Give Me</t>
  </si>
  <si>
    <t>https://www.discogs.com/fr/release/1739214-I-Level-Give-Me</t>
  </si>
  <si>
    <t>https://www.discogs.com/fr/release/2177186-Surface-Lately/image/SW1hZ2U6OTk4MTU5NTk=</t>
  </si>
  <si>
    <t>MASS PRODUCTION - Come And Get Some Of This</t>
  </si>
  <si>
    <t>LUTHER VANDROSS - She's a super lady</t>
  </si>
  <si>
    <t>https://www.discogs.com/fr/release/205940-Luther-Vandross-Never-Too-Much</t>
  </si>
  <si>
    <t>Phil BOOGIE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</si>
</sst>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€&quot;"/>
    <numFmt numFmtId="165" formatCode="#,##0\ &quot;€&quot;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/>
      <right/>
      <top style="medium">
        <color auto="1"/>
      </top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medium">
        <color auto="1"/>
      </right>
      <top style="dotted">
        <color auto="1"/>
      </top>
      <bottom/>
      <diagonal/>
    </border>
    <border>
      <left/>
      <right/>
      <top style="dotted">
        <color auto="1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9">
    <xf numFmtId="0" fontId="0" fillId="0" borderId="0" xfId="0"/>
    <xf numFmtId="0" fontId="0" fillId="3" borderId="5" xfId="0" applyFill="1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3" borderId="4" xfId="0" applyFill="1" applyBorder="1"/>
    <xf numFmtId="0" fontId="0" fillId="3" borderId="5" xfId="0" applyFill="1" applyBorder="1"/>
    <xf numFmtId="0" fontId="2" fillId="0" borderId="5" xfId="0" applyFont="1" applyBorder="1"/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4" borderId="11" xfId="0" applyFont="1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5" borderId="13" xfId="0" applyFill="1" applyBorder="1" applyAlignment="1">
      <alignment horizontal="center"/>
    </xf>
    <xf numFmtId="164" fontId="0" fillId="3" borderId="5" xfId="0" applyNumberFormat="1" applyFill="1" applyBorder="1" applyAlignment="1">
      <alignment horizontal="left"/>
    </xf>
    <xf numFmtId="164" fontId="0" fillId="0" borderId="5" xfId="0" applyNumberFormat="1" applyBorder="1" applyAlignment="1">
      <alignment horizontal="left"/>
    </xf>
    <xf numFmtId="164" fontId="0" fillId="0" borderId="0" xfId="0" applyNumberFormat="1" applyAlignment="1">
      <alignment horizontal="left"/>
    </xf>
    <xf numFmtId="0" fontId="1" fillId="0" borderId="9" xfId="0" applyFont="1" applyBorder="1"/>
    <xf numFmtId="0" fontId="0" fillId="0" borderId="12" xfId="0" applyBorder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 applyFill="1"/>
    <xf numFmtId="0" fontId="0" fillId="0" borderId="0" xfId="0" applyFill="1"/>
    <xf numFmtId="0" fontId="0" fillId="0" borderId="5" xfId="0" applyFill="1" applyBorder="1" applyAlignment="1">
      <alignment horizontal="center"/>
    </xf>
    <xf numFmtId="0" fontId="0" fillId="5" borderId="4" xfId="0" applyFill="1" applyBorder="1"/>
    <xf numFmtId="0" fontId="0" fillId="5" borderId="5" xfId="0" applyFill="1" applyBorder="1" applyAlignment="1">
      <alignment horizontal="center"/>
    </xf>
    <xf numFmtId="0" fontId="0" fillId="5" borderId="5" xfId="0" applyFill="1" applyBorder="1"/>
    <xf numFmtId="164" fontId="0" fillId="5" borderId="5" xfId="0" applyNumberFormat="1" applyFill="1" applyBorder="1" applyAlignment="1">
      <alignment horizontal="left"/>
    </xf>
    <xf numFmtId="164" fontId="0" fillId="3" borderId="5" xfId="0" applyNumberFormat="1" applyFill="1" applyBorder="1"/>
    <xf numFmtId="164" fontId="0" fillId="0" borderId="5" xfId="0" applyNumberFormat="1" applyBorder="1"/>
    <xf numFmtId="164" fontId="0" fillId="5" borderId="5" xfId="0" applyNumberFormat="1" applyFill="1" applyBorder="1"/>
    <xf numFmtId="164" fontId="0" fillId="0" borderId="0" xfId="0" applyNumberFormat="1"/>
    <xf numFmtId="0" fontId="0" fillId="0" borderId="4" xfId="0" applyFill="1" applyBorder="1"/>
    <xf numFmtId="0" fontId="0" fillId="0" borderId="5" xfId="0" applyFill="1" applyBorder="1"/>
    <xf numFmtId="164" fontId="0" fillId="0" borderId="5" xfId="0" applyNumberFormat="1" applyFill="1" applyBorder="1" applyAlignment="1">
      <alignment horizontal="left"/>
    </xf>
    <xf numFmtId="164" fontId="0" fillId="0" borderId="5" xfId="0" applyNumberFormat="1" applyFill="1" applyBorder="1"/>
    <xf numFmtId="0" fontId="0" fillId="0" borderId="14" xfId="0" applyBorder="1"/>
    <xf numFmtId="0" fontId="0" fillId="0" borderId="15" xfId="0" applyBorder="1" applyAlignment="1">
      <alignment horizontal="center"/>
    </xf>
    <xf numFmtId="0" fontId="0" fillId="0" borderId="15" xfId="0" applyBorder="1"/>
    <xf numFmtId="164" fontId="0" fillId="0" borderId="15" xfId="0" applyNumberFormat="1" applyBorder="1" applyAlignment="1">
      <alignment horizontal="left"/>
    </xf>
    <xf numFmtId="164" fontId="0" fillId="0" borderId="15" xfId="0" applyNumberFormat="1" applyBorder="1"/>
    <xf numFmtId="165" fontId="0" fillId="3" borderId="6" xfId="0" applyNumberFormat="1" applyFill="1" applyBorder="1"/>
    <xf numFmtId="165" fontId="0" fillId="0" borderId="6" xfId="0" applyNumberFormat="1" applyFill="1" applyBorder="1"/>
    <xf numFmtId="165" fontId="3" fillId="0" borderId="6" xfId="1" applyNumberFormat="1" applyBorder="1"/>
    <xf numFmtId="165" fontId="3" fillId="3" borderId="6" xfId="1" applyNumberFormat="1" applyFill="1" applyBorder="1"/>
    <xf numFmtId="165" fontId="0" fillId="0" borderId="0" xfId="0" applyNumberFormat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164" fontId="0" fillId="0" borderId="0" xfId="0" applyNumberFormat="1" applyBorder="1" applyAlignment="1">
      <alignment horizontal="left"/>
    </xf>
    <xf numFmtId="164" fontId="0" fillId="0" borderId="0" xfId="0" applyNumberFormat="1" applyBorder="1"/>
    <xf numFmtId="164" fontId="0" fillId="0" borderId="0" xfId="0" applyNumberFormat="1" applyFill="1" applyBorder="1"/>
    <xf numFmtId="164" fontId="0" fillId="6" borderId="0" xfId="0" applyNumberFormat="1" applyFill="1" applyBorder="1"/>
    <xf numFmtId="165" fontId="0" fillId="0" borderId="0" xfId="0" applyNumberFormat="1" applyBorder="1"/>
    <xf numFmtId="165" fontId="0" fillId="0" borderId="0" xfId="0" applyNumberFormat="1" applyFill="1" applyBorder="1"/>
    <xf numFmtId="0" fontId="0" fillId="7" borderId="4" xfId="0" applyFill="1" applyBorder="1"/>
    <xf numFmtId="0" fontId="0" fillId="7" borderId="5" xfId="0" applyFill="1" applyBorder="1" applyAlignment="1">
      <alignment horizontal="center"/>
    </xf>
    <xf numFmtId="0" fontId="0" fillId="7" borderId="5" xfId="0" applyFill="1" applyBorder="1"/>
    <xf numFmtId="164" fontId="0" fillId="7" borderId="5" xfId="0" applyNumberFormat="1" applyFill="1" applyBorder="1" applyAlignment="1">
      <alignment horizontal="left"/>
    </xf>
    <xf numFmtId="164" fontId="0" fillId="7" borderId="5" xfId="0" applyNumberFormat="1" applyFill="1" applyBorder="1"/>
    <xf numFmtId="0" fontId="0" fillId="3" borderId="14" xfId="0" applyFill="1" applyBorder="1"/>
    <xf numFmtId="0" fontId="0" fillId="3" borderId="15" xfId="0" applyFill="1" applyBorder="1" applyAlignment="1">
      <alignment horizontal="center"/>
    </xf>
    <xf numFmtId="0" fontId="0" fillId="3" borderId="15" xfId="0" applyFill="1" applyBorder="1"/>
    <xf numFmtId="164" fontId="0" fillId="3" borderId="15" xfId="0" applyNumberFormat="1" applyFill="1" applyBorder="1" applyAlignment="1">
      <alignment horizontal="left"/>
    </xf>
    <xf numFmtId="164" fontId="0" fillId="3" borderId="15" xfId="0" applyNumberFormat="1" applyFill="1" applyBorder="1"/>
    <xf numFmtId="165" fontId="0" fillId="3" borderId="16" xfId="0" applyNumberFormat="1" applyFill="1" applyBorder="1"/>
    <xf numFmtId="165" fontId="3" fillId="7" borderId="6" xfId="1" applyNumberFormat="1" applyFill="1" applyBorder="1"/>
    <xf numFmtId="165" fontId="3" fillId="0" borderId="6" xfId="1" applyNumberFormat="1" applyFill="1" applyBorder="1"/>
    <xf numFmtId="165" fontId="3" fillId="5" borderId="6" xfId="1" applyNumberFormat="1" applyFill="1" applyBorder="1"/>
    <xf numFmtId="165" fontId="3" fillId="0" borderId="16" xfId="1" applyNumberFormat="1" applyBorder="1"/>
    <xf numFmtId="0" fontId="2" fillId="0" borderId="9" xfId="0" applyFont="1" applyBorder="1"/>
    <xf numFmtId="0" fontId="4" fillId="0" borderId="12" xfId="0" applyFont="1" applyBorder="1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4" fillId="0" borderId="0" xfId="0" applyFont="1" applyFill="1"/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5" fontId="1" fillId="2" borderId="3" xfId="0" applyNumberFormat="1" applyFont="1" applyFill="1" applyBorder="1" applyAlignment="1">
      <alignment horizontal="center" wrapText="1"/>
    </xf>
    <xf numFmtId="165" fontId="1" fillId="2" borderId="6" xfId="0" applyNumberFormat="1" applyFont="1" applyFill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1" fillId="2" borderId="5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discogs.com/release/577562-Love-Club-Hot-Summer-Nights" TargetMode="External"/><Relationship Id="rId21" Type="http://schemas.openxmlformats.org/officeDocument/2006/relationships/hyperlink" Target="https://www.discogs.com/release/711379-Bobby-Broom-Livin-For-The-Beat" TargetMode="External"/><Relationship Id="rId42" Type="http://schemas.openxmlformats.org/officeDocument/2006/relationships/hyperlink" Target="https://www.discogs.com/release/1162590-Creation-Im-Going-Up" TargetMode="External"/><Relationship Id="rId63" Type="http://schemas.openxmlformats.org/officeDocument/2006/relationships/hyperlink" Target="https://www.discogs.com/release/508506-Eugene-Wilde-Personality" TargetMode="External"/><Relationship Id="rId84" Type="http://schemas.openxmlformats.org/officeDocument/2006/relationships/hyperlink" Target="https://www.discogs.com/release/2445205-Howard-Johnson-Say-You-Wanna" TargetMode="External"/><Relationship Id="rId138" Type="http://schemas.openxmlformats.org/officeDocument/2006/relationships/hyperlink" Target="https://www.discogs.com/release/225189-The-Paul-Simpson-Connection-Treat-Her-Sweeter" TargetMode="External"/><Relationship Id="rId159" Type="http://schemas.openxmlformats.org/officeDocument/2006/relationships/hyperlink" Target="https://www.discogs.com/release/167451-Shalamar-The-Second-Time-Around" TargetMode="External"/><Relationship Id="rId170" Type="http://schemas.openxmlformats.org/officeDocument/2006/relationships/hyperlink" Target="https://www.discogs.com/release/1055702-Status-Quo-In-The-Army-Now" TargetMode="External"/><Relationship Id="rId191" Type="http://schemas.openxmlformats.org/officeDocument/2006/relationships/hyperlink" Target="https://www.discogs.com/release/1228756-Del-Richardson-Soul-On-Fire-New-Vocal-Disco-Version" TargetMode="External"/><Relationship Id="rId107" Type="http://schemas.openxmlformats.org/officeDocument/2006/relationships/hyperlink" Target="https://www.discogs.com/release/978197-Kinsman-Dazz-Keep-On-Rockin" TargetMode="External"/><Relationship Id="rId11" Type="http://schemas.openxmlformats.org/officeDocument/2006/relationships/hyperlink" Target="https://www.discogs.com/release/1279133-Arlana-You-Cant-Keep-Breaking-My-Heart" TargetMode="External"/><Relationship Id="rId32" Type="http://schemas.openxmlformats.org/officeDocument/2006/relationships/hyperlink" Target="https://www.discogs.com/release/1658258-Cheryl-Lynn-In-The-Night" TargetMode="External"/><Relationship Id="rId53" Type="http://schemas.openxmlformats.org/officeDocument/2006/relationships/hyperlink" Target="https://www.discogs.com/release/21461563-D%C3%B5lette-McDonald-Xtra-Special" TargetMode="External"/><Relationship Id="rId74" Type="http://schemas.openxmlformats.org/officeDocument/2006/relationships/hyperlink" Target="https://www.discogs.com/release/2543380-Fran%C3%A7ois-Val%C3%A9ry-Aimons-nous-Vivants-Sp%C3%A9cial-Remix-Club" TargetMode="External"/><Relationship Id="rId128" Type="http://schemas.openxmlformats.org/officeDocument/2006/relationships/hyperlink" Target="https://www.discogs.com/release/10322140-Michel-Sardou-Les-Lacs-Du-Connemara" TargetMode="External"/><Relationship Id="rId149" Type="http://schemas.openxmlformats.org/officeDocument/2006/relationships/hyperlink" Target="https://www.discogs.com/release/1045298-Roger-Do-It-Roger-Blue-A-Tribute-To-The-Blues" TargetMode="External"/><Relationship Id="rId5" Type="http://schemas.openxmlformats.org/officeDocument/2006/relationships/hyperlink" Target="https://www.discogs.com/release/1051595-Alain-Chamfort-Manureva" TargetMode="External"/><Relationship Id="rId95" Type="http://schemas.openxmlformats.org/officeDocument/2006/relationships/hyperlink" Target="https://www.discogs.com/release/1050917-Jessie-Rogers-One-Monkey-Dont-Stop-No-Show" TargetMode="External"/><Relationship Id="rId160" Type="http://schemas.openxmlformats.org/officeDocument/2006/relationships/hyperlink" Target="https://www.discogs.com/release/81993-Sharon-Redd-Never-Give-You-Up-Beat-The-Street" TargetMode="External"/><Relationship Id="rId181" Type="http://schemas.openxmlformats.org/officeDocument/2006/relationships/hyperlink" Target="https://www.discogs.com/release/539624-Ronnie-McNeir-The-Ronnie-McNeir-Experience" TargetMode="External"/><Relationship Id="rId22" Type="http://schemas.openxmlformats.org/officeDocument/2006/relationships/hyperlink" Target="https://www.discogs.com/release/1277842-Booker-Newberry-III-I-Get-Romantic" TargetMode="External"/><Relationship Id="rId43" Type="http://schemas.openxmlformats.org/officeDocument/2006/relationships/hyperlink" Target="https://www.discogs.com/release/1796017-Crown-Heights-Affair-Let-Me-Ride-On-The-Wave-Of-Your-Love" TargetMode="External"/><Relationship Id="rId64" Type="http://schemas.openxmlformats.org/officeDocument/2006/relationships/hyperlink" Target="https://www.discogs.com/release/1196365-Exquisite-Taste-Its-You-Thats-Happening" TargetMode="External"/><Relationship Id="rId118" Type="http://schemas.openxmlformats.org/officeDocument/2006/relationships/hyperlink" Target="https://www.discogs.com/release/2261036-The-Manhattans-Forever-By-Your-Side" TargetMode="External"/><Relationship Id="rId139" Type="http://schemas.openxmlformats.org/officeDocument/2006/relationships/hyperlink" Target="https://www.discogs.com/release/5510511-Pharrell-Williams-Happy" TargetMode="External"/><Relationship Id="rId85" Type="http://schemas.openxmlformats.org/officeDocument/2006/relationships/hyperlink" Target="https://www.discogs.com/release/234189-Inner-Life-Aint-No-Mountain-High-Enough" TargetMode="External"/><Relationship Id="rId150" Type="http://schemas.openxmlformats.org/officeDocument/2006/relationships/hyperlink" Target="https://www.discogs.com/release/1829775-Ron-Banks-Truly-Bad" TargetMode="External"/><Relationship Id="rId171" Type="http://schemas.openxmlformats.org/officeDocument/2006/relationships/hyperlink" Target="https://www.discogs.com/release/900655-Supertramp-Breakfast-In-America" TargetMode="External"/><Relationship Id="rId192" Type="http://schemas.openxmlformats.org/officeDocument/2006/relationships/hyperlink" Target="https://www.discogs.com/release/1807899-WQBC-Love-Me-Anyway" TargetMode="External"/><Relationship Id="rId12" Type="http://schemas.openxmlformats.org/officeDocument/2006/relationships/hyperlink" Target="https://www.discogs.com/release/115996-Atlantic-Starr-Circles" TargetMode="External"/><Relationship Id="rId33" Type="http://schemas.openxmlformats.org/officeDocument/2006/relationships/hyperlink" Target="https://www.discogs.com/release/2142320-Cheryl-Lynn-In-The-Night" TargetMode="External"/><Relationship Id="rId108" Type="http://schemas.openxmlformats.org/officeDocument/2006/relationships/hyperlink" Target="https://www.discogs.com/release/12039686-Krystal-Davis-So-Smooth" TargetMode="External"/><Relationship Id="rId129" Type="http://schemas.openxmlformats.org/officeDocument/2006/relationships/hyperlink" Target="https://www.discogs.com/release/568053-Midnight-Star-Wet-My-Whistle" TargetMode="External"/><Relationship Id="rId54" Type="http://schemas.openxmlformats.org/officeDocument/2006/relationships/hyperlink" Target="https://www.discogs.com/release/837053-Dolos-Night-So-Right" TargetMode="External"/><Relationship Id="rId75" Type="http://schemas.openxmlformats.org/officeDocument/2006/relationships/hyperlink" Target="https://www.discogs.com/release/1127903-Freddy-James-Everybody-Get-Up-And-Boogie-Disco-Version" TargetMode="External"/><Relationship Id="rId96" Type="http://schemas.openxmlformats.org/officeDocument/2006/relationships/hyperlink" Target="https://www.discogs.com/release/546910-Johnson-And-Youngblood-The-Funk-Is-In-The-Music" TargetMode="External"/><Relationship Id="rId140" Type="http://schemas.openxmlformats.org/officeDocument/2006/relationships/hyperlink" Target="https://www.discogs.com/release/1122088-Phyllis-Hyman-Under-Your-Spell" TargetMode="External"/><Relationship Id="rId161" Type="http://schemas.openxmlformats.org/officeDocument/2006/relationships/hyperlink" Target="https://www.discogs.com/release/241523-Sharon-Redd-You-Got-My-Love-Can-You-Handle-It" TargetMode="External"/><Relationship Id="rId182" Type="http://schemas.openxmlformats.org/officeDocument/2006/relationships/hyperlink" Target="https://www.discogs.com/release/182083-The-SOS-Band-Just-Be-Good-To-Me" TargetMode="External"/><Relationship Id="rId6" Type="http://schemas.openxmlformats.org/officeDocument/2006/relationships/hyperlink" Target="https://www.discogs.com/release/1360434-Alfonzo-Girl-You-Are-The-One" TargetMode="External"/><Relationship Id="rId23" Type="http://schemas.openxmlformats.org/officeDocument/2006/relationships/hyperlink" Target="https://www.discogs.com/release/5090004-The-Dukes-Bugatti-Musker" TargetMode="External"/><Relationship Id="rId119" Type="http://schemas.openxmlformats.org/officeDocument/2006/relationships/hyperlink" Target="https://www.discogs.com/release/1148537-Marc-Lavoine-Le-Parking-Des-Anges" TargetMode="External"/><Relationship Id="rId44" Type="http://schemas.openxmlformats.org/officeDocument/2006/relationships/hyperlink" Target="https://www.discogs.com/release/1289870-Cubie-Burke-Down-For-Double" TargetMode="External"/><Relationship Id="rId65" Type="http://schemas.openxmlformats.org/officeDocument/2006/relationships/hyperlink" Target="https://www.discogs.com/release/794034-Family-Brown-Im-Gonna-Getcha" TargetMode="External"/><Relationship Id="rId86" Type="http://schemas.openxmlformats.org/officeDocument/2006/relationships/hyperlink" Target="https://www.discogs.com/release/79645-Inner-Life-Im-Caught-Up-In-A-One-Night-Love-Affair" TargetMode="External"/><Relationship Id="rId130" Type="http://schemas.openxmlformats.org/officeDocument/2006/relationships/hyperlink" Target="https://www.discogs.com/release/3999391-Miguel-Campbell-Back-In-Flight-School" TargetMode="External"/><Relationship Id="rId151" Type="http://schemas.openxmlformats.org/officeDocument/2006/relationships/hyperlink" Target="https://www.discogs.com/release/3603081-Ron-Richardson-Ooh-Wee-Babe" TargetMode="External"/><Relationship Id="rId172" Type="http://schemas.openxmlformats.org/officeDocument/2006/relationships/hyperlink" Target="https://www.discogs.com/release/103533-Surface-Happy-Extended-Version" TargetMode="External"/><Relationship Id="rId193" Type="http://schemas.openxmlformats.org/officeDocument/2006/relationships/hyperlink" Target="https://www.discogs.com/release/837849-Ze-Brass-Feels-So-Good" TargetMode="External"/><Relationship Id="rId13" Type="http://schemas.openxmlformats.org/officeDocument/2006/relationships/hyperlink" Target="https://www.discogs.com/release/705469-Atmosfear-Xtra-Special" TargetMode="External"/><Relationship Id="rId109" Type="http://schemas.openxmlformats.org/officeDocument/2006/relationships/hyperlink" Target="https://www.discogs.com/release/1422050-Kwick-We-Ought-To-Be-Dancing" TargetMode="External"/><Relationship Id="rId34" Type="http://schemas.openxmlformats.org/officeDocument/2006/relationships/hyperlink" Target="https://www.discogs.com/release/421827-Cheryl-Lynn-Keep-It-Hot" TargetMode="External"/><Relationship Id="rId55" Type="http://schemas.openxmlformats.org/officeDocument/2006/relationships/hyperlink" Target="https://www.discogs.com/release/1065714-Don-Ray-Got-To-Have-Loving" TargetMode="External"/><Relationship Id="rId76" Type="http://schemas.openxmlformats.org/officeDocument/2006/relationships/hyperlink" Target="https://www.discogs.com/release/1828925-G-C-Cameron-Wait-Until-Tomorrow" TargetMode="External"/><Relationship Id="rId97" Type="http://schemas.openxmlformats.org/officeDocument/2006/relationships/hyperlink" Target="https://www.discogs.com/release/921319-Julie-Pietri-Eve-Leve-Toi" TargetMode="External"/><Relationship Id="rId120" Type="http://schemas.openxmlformats.org/officeDocument/2006/relationships/hyperlink" Target="https://www.discogs.com/release/469977-Mark-Fisher-Featuring-Dotty-Green-Love-Situation" TargetMode="External"/><Relationship Id="rId141" Type="http://schemas.openxmlformats.org/officeDocument/2006/relationships/hyperlink" Target="https://www.discogs.com/release/2161010-Queen-Another-One-Bites-The-Dust" TargetMode="External"/><Relationship Id="rId7" Type="http://schemas.openxmlformats.org/officeDocument/2006/relationships/hyperlink" Target="https://www.discogs.com/release/610580-Alicia-Myers-Appreciation" TargetMode="External"/><Relationship Id="rId162" Type="http://schemas.openxmlformats.org/officeDocument/2006/relationships/hyperlink" Target="https://www.discogs.com/release/788629-Shot-Main-Thing" TargetMode="External"/><Relationship Id="rId183" Type="http://schemas.openxmlformats.org/officeDocument/2006/relationships/hyperlink" Target="https://www.discogs.com/release/2045627-Sylvers-Come-Back-Lover-Come-Back" TargetMode="External"/><Relationship Id="rId2" Type="http://schemas.openxmlformats.org/officeDocument/2006/relationships/hyperlink" Target="https://www.discogs.com/release/2952588-Alain-Chamfort-D%C3%A9cha%C3%AEne-moi" TargetMode="External"/><Relationship Id="rId29" Type="http://schemas.openxmlformats.org/officeDocument/2006/relationships/hyperlink" Target="https://www.discogs.com/release/1398896-Change-Hold-Tight" TargetMode="External"/><Relationship Id="rId24" Type="http://schemas.openxmlformats.org/officeDocument/2006/relationships/hyperlink" Target="https://www.discogs.com/release/1274661-Buzy-Body-Physical" TargetMode="External"/><Relationship Id="rId40" Type="http://schemas.openxmlformats.org/officeDocument/2006/relationships/hyperlink" Target="https://www.discogs.com/release/1421952-Con-Funk-Shun-Miss-Got-The-Body" TargetMode="External"/><Relationship Id="rId45" Type="http://schemas.openxmlformats.org/officeDocument/2006/relationships/hyperlink" Target="https://www.discogs.com/release/624986-Dayton-Out-Tonight" TargetMode="External"/><Relationship Id="rId66" Type="http://schemas.openxmlformats.org/officeDocument/2006/relationships/hyperlink" Target="https://www.discogs.com/release/1201894-Fantasy-Youre-Too-Late" TargetMode="External"/><Relationship Id="rId87" Type="http://schemas.openxmlformats.org/officeDocument/2006/relationships/hyperlink" Target="https://www.discogs.com/release/114430-Inner-Life-Moment-Of-My-Life" TargetMode="External"/><Relationship Id="rId110" Type="http://schemas.openxmlformats.org/officeDocument/2006/relationships/hyperlink" Target="https://www.discogs.com/release/1606877-Kwick-To-The-Point" TargetMode="External"/><Relationship Id="rId115" Type="http://schemas.openxmlformats.org/officeDocument/2006/relationships/hyperlink" Target="https://www.discogs.com/release/571794-Lew-Kirton-Talk-To-Me" TargetMode="External"/><Relationship Id="rId131" Type="http://schemas.openxmlformats.org/officeDocument/2006/relationships/hyperlink" Target="https://www.discogs.com/release/3116452-Miguel-Campbell-Baby-I-Got-It" TargetMode="External"/><Relationship Id="rId136" Type="http://schemas.openxmlformats.org/officeDocument/2006/relationships/hyperlink" Target="https://www.discogs.com/release/1826184-Norma-Jean-Wright-Love-Attack" TargetMode="External"/><Relationship Id="rId157" Type="http://schemas.openxmlformats.org/officeDocument/2006/relationships/hyperlink" Target="https://www.discogs.com/release/427126-Shalamar-Full-Of-Fire-Lets-Find-Time-For-Love" TargetMode="External"/><Relationship Id="rId178" Type="http://schemas.openxmlformats.org/officeDocument/2006/relationships/hyperlink" Target="https://www.discogs.com/release/968099-Orient-Express-Shine-On" TargetMode="External"/><Relationship Id="rId61" Type="http://schemas.openxmlformats.org/officeDocument/2006/relationships/hyperlink" Target="https://www.discogs.com/release/2249780-Enois-Scroggins-Funk-E" TargetMode="External"/><Relationship Id="rId82" Type="http://schemas.openxmlformats.org/officeDocument/2006/relationships/hyperlink" Target="https://www.discogs.com/release/245882-Haywoode-A-Time-Like-This-Extended-Version-Part-1" TargetMode="External"/><Relationship Id="rId152" Type="http://schemas.openxmlformats.org/officeDocument/2006/relationships/hyperlink" Target="https://www.discogs.com/release/804510-Rose-Laurens-Africa" TargetMode="External"/><Relationship Id="rId173" Type="http://schemas.openxmlformats.org/officeDocument/2006/relationships/hyperlink" Target="https://www.discogs.com/release/610170-Sweet-Ecstasy-Pull-Our-Love-Together" TargetMode="External"/><Relationship Id="rId194" Type="http://schemas.openxmlformats.org/officeDocument/2006/relationships/hyperlink" Target="https://www.discogs.com/release/2064605-Zena-Dejonay-Ive-Got-To-Find-A-Way" TargetMode="External"/><Relationship Id="rId199" Type="http://schemas.openxmlformats.org/officeDocument/2006/relationships/hyperlink" Target="https://www.discogs.com/fr/release/53055-I-Level-Minefield" TargetMode="External"/><Relationship Id="rId203" Type="http://schemas.openxmlformats.org/officeDocument/2006/relationships/printerSettings" Target="../printerSettings/printerSettings1.bin"/><Relationship Id="rId19" Type="http://schemas.openxmlformats.org/officeDocument/2006/relationships/hyperlink" Target="https://www.discogs.com/release/1050905-Bernice-Watkins-Lets-Call-It-A-Day" TargetMode="External"/><Relationship Id="rId14" Type="http://schemas.openxmlformats.org/officeDocument/2006/relationships/hyperlink" Target="https://www.discogs.com/release/704467-Aurra-Make-Up-Your-Mind-Such-A-Feeling" TargetMode="External"/><Relationship Id="rId30" Type="http://schemas.openxmlformats.org/officeDocument/2006/relationships/hyperlink" Target="https://www.discogs.com/release/1198904-Change-This-Is-Your-Time" TargetMode="External"/><Relationship Id="rId35" Type="http://schemas.openxmlformats.org/officeDocument/2006/relationships/hyperlink" Target="https://www.discogs.com/release/1745132-Chic-Everybody-Dance-Dance-Dance-Dance-Yowsah-Yowsah-Yowsah" TargetMode="External"/><Relationship Id="rId56" Type="http://schemas.openxmlformats.org/officeDocument/2006/relationships/hyperlink" Target="https://www.discogs.com/release/1842595-Donald-Byrd-Love-Has-Come-Around" TargetMode="External"/><Relationship Id="rId77" Type="http://schemas.openxmlformats.org/officeDocument/2006/relationships/hyperlink" Target="https://www.discogs.com/release/18189442-George-Benson-Turn-Your-Love-Around" TargetMode="External"/><Relationship Id="rId100" Type="http://schemas.openxmlformats.org/officeDocument/2006/relationships/hyperlink" Target="https://www.discogs.com/release/847970-Julius-Brown-Sho-Nuff-Sure-Look-Good" TargetMode="External"/><Relationship Id="rId105" Type="http://schemas.openxmlformats.org/officeDocument/2006/relationships/hyperlink" Target="https://www.discogs.com/release/1841878-Kevin-Johnson-You-Walked-Out-On-Me" TargetMode="External"/><Relationship Id="rId126" Type="http://schemas.openxmlformats.org/officeDocument/2006/relationships/hyperlink" Target="https://www.discogs.com/release/30865281-Michael-Wycoff-Looking-Up-To-You-A-Mike-Maurro-Remix" TargetMode="External"/><Relationship Id="rId147" Type="http://schemas.openxmlformats.org/officeDocument/2006/relationships/hyperlink" Target="https://www.discogs.com/release/5264500-Risse-Give-It-Up-Shake-It-Down" TargetMode="External"/><Relationship Id="rId168" Type="http://schemas.openxmlformats.org/officeDocument/2006/relationships/hyperlink" Target="https://www.discogs.com/release/4658101-Smokey-Robinson-Just-To-See-Her" TargetMode="External"/><Relationship Id="rId8" Type="http://schemas.openxmlformats.org/officeDocument/2006/relationships/hyperlink" Target="https://www.discogs.com/release/81337-Alicia-Myers-You-Get-The-Best-From-Me-Say-Say-Say" TargetMode="External"/><Relationship Id="rId51" Type="http://schemas.openxmlformats.org/officeDocument/2006/relationships/hyperlink" Target="https://www.discogs.com/release/230967-Dianne-Marie-Ive-Waited-Much-Too-Long" TargetMode="External"/><Relationship Id="rId72" Type="http://schemas.openxmlformats.org/officeDocument/2006/relationships/hyperlink" Target="https://www.discogs.com/release/253104-Fonda-Rae-Touch-Me-All-Night-Long" TargetMode="External"/><Relationship Id="rId93" Type="http://schemas.openxmlformats.org/officeDocument/2006/relationships/hyperlink" Target="https://www.discogs.com/release/14636389-Jean-Luc-Lahaye-Femme-Que-Jaime" TargetMode="External"/><Relationship Id="rId98" Type="http://schemas.openxmlformats.org/officeDocument/2006/relationships/hyperlink" Target="https://www.discogs.com/release/1164986-Julien-Clerc-C%C5%93ur-De-Rocker" TargetMode="External"/><Relationship Id="rId121" Type="http://schemas.openxmlformats.org/officeDocument/2006/relationships/hyperlink" Target="https://www.discogs.com/release/214950-Mass-Production-Come-And-Get-Some-Of-This" TargetMode="External"/><Relationship Id="rId142" Type="http://schemas.openxmlformats.org/officeDocument/2006/relationships/hyperlink" Target="https://www.discogs.com/release/470521-Rainbow-Team-Bite-The-Apple-Hope-He-Wants" TargetMode="External"/><Relationship Id="rId163" Type="http://schemas.openxmlformats.org/officeDocument/2006/relationships/hyperlink" Target="https://www.discogs.com/release/924166-Silent-Circle-Touch-In-The-Night-Crash-Version" TargetMode="External"/><Relationship Id="rId184" Type="http://schemas.openxmlformats.org/officeDocument/2006/relationships/hyperlink" Target="https://www.discogs.com/release/1950253-The-Time-Get-It-Up" TargetMode="External"/><Relationship Id="rId189" Type="http://schemas.openxmlformats.org/officeDocument/2006/relationships/hyperlink" Target="https://www.discogs.com/release/4624756-Unity-Heat-Your-Body-Up-Special-Remixed-Extended-Version" TargetMode="External"/><Relationship Id="rId3" Type="http://schemas.openxmlformats.org/officeDocument/2006/relationships/hyperlink" Target="https://www.discogs.com/release/797208-Clockwork-Im-Your-Candy-Girl" TargetMode="External"/><Relationship Id="rId25" Type="http://schemas.openxmlformats.org/officeDocument/2006/relationships/hyperlink" Target="https://www.discogs.com/release/373825-Carol-Williams-No-One-Can-Do-It-Like-You" TargetMode="External"/><Relationship Id="rId46" Type="http://schemas.openxmlformats.org/officeDocument/2006/relationships/hyperlink" Target="https://www.discogs.com/release/4723572-Daft-Punk-Get-Lucky-Daft-Punk-Remix" TargetMode="External"/><Relationship Id="rId67" Type="http://schemas.openxmlformats.org/officeDocument/2006/relationships/hyperlink" Target="https://www.discogs.com/release/1684317-Finesse-Feel-It" TargetMode="External"/><Relationship Id="rId116" Type="http://schemas.openxmlformats.org/officeDocument/2006/relationships/hyperlink" Target="https://www.discogs.com/release/99746-Loleatta-Holloway-Love-Sensation" TargetMode="External"/><Relationship Id="rId137" Type="http://schemas.openxmlformats.org/officeDocument/2006/relationships/hyperlink" Target="https://www.discogs.com/release/389502-One-Way-Shine-On-Me" TargetMode="External"/><Relationship Id="rId158" Type="http://schemas.openxmlformats.org/officeDocument/2006/relationships/hyperlink" Target="https://www.discogs.com/release/260729-Shalamar-Make-That-Move" TargetMode="External"/><Relationship Id="rId20" Type="http://schemas.openxmlformats.org/officeDocument/2006/relationships/hyperlink" Target="https://www.discogs.com/release/1284413-Blue-Feather-Shadows-Of-The-Night-Club-Mix" TargetMode="External"/><Relationship Id="rId41" Type="http://schemas.openxmlformats.org/officeDocument/2006/relationships/hyperlink" Target="https://www.discogs.com/release/480657-Conway-And-Temple-You-Can-Lay-Your-Head-On-My-Shoulder-Love-Lights" TargetMode="External"/><Relationship Id="rId62" Type="http://schemas.openxmlformats.org/officeDocument/2006/relationships/hyperlink" Target="https://www.discogs.com/release/3492979-Charden-L%C3%89t%C3%A9-Sra-Chaud" TargetMode="External"/><Relationship Id="rId83" Type="http://schemas.openxmlformats.org/officeDocument/2006/relationships/hyperlink" Target="https://www.discogs.com/release/1430037-Herley-Johnson-Jr-Do-It" TargetMode="External"/><Relationship Id="rId88" Type="http://schemas.openxmlformats.org/officeDocument/2006/relationships/hyperlink" Target="https://www.discogs.com/release/989965-Intrigue-No-Turning-Back-Call-Of-The-Heart" TargetMode="External"/><Relationship Id="rId111" Type="http://schemas.openxmlformats.org/officeDocument/2006/relationships/hyperlink" Target="https://www.discogs.com/release/1420249-Lenny-Williams-Messing-With-My-Mind" TargetMode="External"/><Relationship Id="rId132" Type="http://schemas.openxmlformats.org/officeDocument/2006/relationships/hyperlink" Target="https://www.discogs.com/release/245931-Mikki-Featuring-Starz-Dance-Lover" TargetMode="External"/><Relationship Id="rId153" Type="http://schemas.openxmlformats.org/officeDocument/2006/relationships/hyperlink" Target="https://www.discogs.com/release/1294098-Rose-Royce-Best-Love" TargetMode="External"/><Relationship Id="rId174" Type="http://schemas.openxmlformats.org/officeDocument/2006/relationships/hyperlink" Target="https://www.discogs.com/release/9309134-Curiosity-I-Need-Your-Lovin" TargetMode="External"/><Relationship Id="rId179" Type="http://schemas.openxmlformats.org/officeDocument/2006/relationships/hyperlink" Target="https://www.discogs.com/release/225189-The-Paul-Simpson-Connection-Treat-Her-Sweeter" TargetMode="External"/><Relationship Id="rId195" Type="http://schemas.openxmlformats.org/officeDocument/2006/relationships/hyperlink" Target="https://www.discogs.com/release/2106174-Zinga-Zinga" TargetMode="External"/><Relationship Id="rId190" Type="http://schemas.openxmlformats.org/officeDocument/2006/relationships/hyperlink" Target="https://www.discogs.com/release/225190-Vikki-Love-Stop-Playing-On-Me" TargetMode="External"/><Relationship Id="rId15" Type="http://schemas.openxmlformats.org/officeDocument/2006/relationships/hyperlink" Target="https://www.discogs.com/release/1360804-BT-Express-Let-Me-Be-The-One-Midnight-Beat" TargetMode="External"/><Relationship Id="rId36" Type="http://schemas.openxmlformats.org/officeDocument/2006/relationships/hyperlink" Target="https://www.discogs.com/release/100032-Chic-I-Want-Your-Love-Funny-Bone" TargetMode="External"/><Relationship Id="rId57" Type="http://schemas.openxmlformats.org/officeDocument/2006/relationships/hyperlink" Target="https://www.discogs.com/release/29569465-D-Train-Tryin-To-Get-Over" TargetMode="External"/><Relationship Id="rId106" Type="http://schemas.openxmlformats.org/officeDocument/2006/relationships/hyperlink" Target="https://www.discogs.com/release/3355164-Khemistry-I-Cant-Win-For-Losing" TargetMode="External"/><Relationship Id="rId127" Type="http://schemas.openxmlformats.org/officeDocument/2006/relationships/hyperlink" Target="https://www.discogs.com/release/2326456-Michel-Sardou-%C3%8Atre-Une-Femme-97-Femme-Des-Ann%C3%A9es-80" TargetMode="External"/><Relationship Id="rId10" Type="http://schemas.openxmlformats.org/officeDocument/2006/relationships/hyperlink" Target="https://www.discogs.com/release/1319826-Alphonse-Mouzon-Im-Glad-That-Youre-Here" TargetMode="External"/><Relationship Id="rId31" Type="http://schemas.openxmlformats.org/officeDocument/2006/relationships/hyperlink" Target="https://www.discogs.com/release/10159605-Charles-Earland-Coming-To-You-Live-I-Will-Never-Tell" TargetMode="External"/><Relationship Id="rId52" Type="http://schemas.openxmlformats.org/officeDocument/2006/relationships/hyperlink" Target="https://www.discogs.com/release/4565109-Dionne-Warwick-Heartbreaker" TargetMode="External"/><Relationship Id="rId73" Type="http://schemas.openxmlformats.org/officeDocument/2006/relationships/hyperlink" Target="https://www.discogs.com/release/1465995-Fonzi-Thornton-Beverly" TargetMode="External"/><Relationship Id="rId78" Type="http://schemas.openxmlformats.org/officeDocument/2006/relationships/hyperlink" Target="https://www.discogs.com/release/524731-Gino-Soccio-What-You-Feel-Is-Real-Hold-Tight" TargetMode="External"/><Relationship Id="rId94" Type="http://schemas.openxmlformats.org/officeDocument/2006/relationships/hyperlink" Target="https://www.discogs.com/release/4636343-Jerome-Jasper-Ill-Do-Anything-For-You" TargetMode="External"/><Relationship Id="rId99" Type="http://schemas.openxmlformats.org/officeDocument/2006/relationships/hyperlink" Target="https://www.discogs.com/release/2300851-Julien-Clerc-Melissa" TargetMode="External"/><Relationship Id="rId101" Type="http://schemas.openxmlformats.org/officeDocument/2006/relationships/hyperlink" Target="https://www.discogs.com/release/2124876-Jupiter-Band-Sarah-Love" TargetMode="External"/><Relationship Id="rId122" Type="http://schemas.openxmlformats.org/officeDocument/2006/relationships/hyperlink" Target="https://www.discogs.com/release/3188747-McFadden-Whitehead-One-More-Time" TargetMode="External"/><Relationship Id="rId143" Type="http://schemas.openxmlformats.org/officeDocument/2006/relationships/hyperlink" Target="https://www.discogs.com/release/3114099-Ray-Parker-Jr-And-Raydio-A-Woman-Needs-Love-Just-Like-You-Do-Still-In-The-Groove" TargetMode="External"/><Relationship Id="rId148" Type="http://schemas.openxmlformats.org/officeDocument/2006/relationships/hyperlink" Target="https://www.discogs.com/release/1134347-Rocket-Come-Together" TargetMode="External"/><Relationship Id="rId164" Type="http://schemas.openxmlformats.org/officeDocument/2006/relationships/hyperlink" Target="https://www.discogs.com/release/800559-Silver-Convention-Get-Up-And-Boogie-Fly-Robin-Fly" TargetMode="External"/><Relationship Id="rId169" Type="http://schemas.openxmlformats.org/officeDocument/2006/relationships/hyperlink" Target="https://www.discogs.com/release/1757136-Starpoint-Keep-On-It" TargetMode="External"/><Relationship Id="rId185" Type="http://schemas.openxmlformats.org/officeDocument/2006/relationships/hyperlink" Target="https://www.discogs.com/release/1025159-The-Whispers-This-Kind-Of-Lovin" TargetMode="External"/><Relationship Id="rId4" Type="http://schemas.openxmlformats.org/officeDocument/2006/relationships/hyperlink" Target="https://www.discogs.com/release/245747-A-O-K-Style" TargetMode="External"/><Relationship Id="rId9" Type="http://schemas.openxmlformats.org/officeDocument/2006/relationships/hyperlink" Target="https://www.discogs.com/release/81337-Alicia-Myers-You-Get-The-Best-From-Me-Say-Say-Say" TargetMode="External"/><Relationship Id="rId180" Type="http://schemas.openxmlformats.org/officeDocument/2006/relationships/hyperlink" Target="https://www.discogs.com/release/805588-The-Romantics-Talking-In-Your-Sleep-Special-Remix" TargetMode="External"/><Relationship Id="rId26" Type="http://schemas.openxmlformats.org/officeDocument/2006/relationships/hyperlink" Target="https://www.discogs.com/release/1952963-Carrie-Lucas-Dance-With-You-Simpler-Days" TargetMode="External"/><Relationship Id="rId47" Type="http://schemas.openxmlformats.org/officeDocument/2006/relationships/hyperlink" Target="https://www.discogs.com/release/239036-DBora-No-Sense" TargetMode="External"/><Relationship Id="rId68" Type="http://schemas.openxmlformats.org/officeDocument/2006/relationships/hyperlink" Target="https://www.discogs.com/release/7399983-Finesse-Together" TargetMode="External"/><Relationship Id="rId89" Type="http://schemas.openxmlformats.org/officeDocument/2006/relationships/hyperlink" Target="https://www.discogs.com/release/187568-Irene-Cara-Fame-Special-Remix" TargetMode="External"/><Relationship Id="rId112" Type="http://schemas.openxmlformats.org/officeDocument/2006/relationships/hyperlink" Target="https://www.discogs.com/release/1321006-Leo-Sayer-Thunder-In-My-Heart-Disco-Version" TargetMode="External"/><Relationship Id="rId133" Type="http://schemas.openxmlformats.org/officeDocument/2006/relationships/hyperlink" Target="https://www.discogs.com/release/1011625-Mikki-Itching-For-Love" TargetMode="External"/><Relationship Id="rId154" Type="http://schemas.openxmlformats.org/officeDocument/2006/relationships/hyperlink" Target="https://www.discogs.com/release/1060592-Sandra-In-The-Heat-Of-The-Night" TargetMode="External"/><Relationship Id="rId175" Type="http://schemas.openxmlformats.org/officeDocument/2006/relationships/hyperlink" Target="https://www.discogs.com/release/3259266-Kenny-Claiborne-And-The-Armed-Gang-The-Armed-Gang" TargetMode="External"/><Relationship Id="rId196" Type="http://schemas.openxmlformats.org/officeDocument/2006/relationships/hyperlink" Target="https://www.discogs.com/release/2146190-Breakbot-Baby-Im-Yours" TargetMode="External"/><Relationship Id="rId200" Type="http://schemas.openxmlformats.org/officeDocument/2006/relationships/hyperlink" Target="https://www.discogs.com/fr/release/1739214-I-Level-Give-Me" TargetMode="External"/><Relationship Id="rId16" Type="http://schemas.openxmlformats.org/officeDocument/2006/relationships/hyperlink" Target="https://www.discogs.com/release/742194-Bananarama-Love-In-The-First-Degree" TargetMode="External"/><Relationship Id="rId37" Type="http://schemas.openxmlformats.org/officeDocument/2006/relationships/hyperlink" Target="https://www.discogs.com/release/133840-Colors-Am-I-Gonna-Be-The-One" TargetMode="External"/><Relationship Id="rId58" Type="http://schemas.openxmlformats.org/officeDocument/2006/relationships/hyperlink" Target="https://www.discogs.com/release/236801-Dynasty-Do-Me-Right" TargetMode="External"/><Relationship Id="rId79" Type="http://schemas.openxmlformats.org/officeDocument/2006/relationships/hyperlink" Target="https://www.discogs.com/release/1872566-Gwen-McCrae-Keep-The-Fire-Burning" TargetMode="External"/><Relationship Id="rId102" Type="http://schemas.openxmlformats.org/officeDocument/2006/relationships/hyperlink" Target="https://www.discogs.com/release/1464173-Karen-Silver-Nobody-Else" TargetMode="External"/><Relationship Id="rId123" Type="http://schemas.openxmlformats.org/officeDocument/2006/relationships/hyperlink" Target="https://www.discogs.com/release/404478-Melba-Moore-Mind-Up-Tonight-Special-Remix" TargetMode="External"/><Relationship Id="rId144" Type="http://schemas.openxmlformats.org/officeDocument/2006/relationships/hyperlink" Target="https://www.discogs.com/release/1960933-Raydio-Rock-On" TargetMode="External"/><Relationship Id="rId90" Type="http://schemas.openxmlformats.org/officeDocument/2006/relationships/hyperlink" Target="https://www.discogs.com/release/10274-Jamiroquai-Cosmic-Girl" TargetMode="External"/><Relationship Id="rId165" Type="http://schemas.openxmlformats.org/officeDocument/2006/relationships/hyperlink" Target="https://www.discogs.com/release/800559-Silver-Convention-Get-Up-And-Boogie-Fly-Robin-Fly" TargetMode="External"/><Relationship Id="rId186" Type="http://schemas.openxmlformats.org/officeDocument/2006/relationships/hyperlink" Target="https://www.discogs.com/release/1151984-Thelma-Houston-I-Guess-It-Must-Be-Love" TargetMode="External"/><Relationship Id="rId27" Type="http://schemas.openxmlformats.org/officeDocument/2006/relationships/hyperlink" Target="https://www.discogs.com/release/1690009-Ceejay-Could-This-Be-Love" TargetMode="External"/><Relationship Id="rId48" Type="http://schemas.openxmlformats.org/officeDocument/2006/relationships/hyperlink" Target="https://www.discogs.com/release/1421962-Delegation-I-Wantcha-Back-12th-House" TargetMode="External"/><Relationship Id="rId69" Type="http://schemas.openxmlformats.org/officeDocument/2006/relationships/hyperlink" Target="https://www.discogs.com/release/1117386-Finis-Henderson-Skip-To-My-Lou" TargetMode="External"/><Relationship Id="rId113" Type="http://schemas.openxmlformats.org/officeDocument/2006/relationships/hyperlink" Target="https://www.discogs.com/release/1492119-Les-Femmes-Yes-You-Thrill-Me" TargetMode="External"/><Relationship Id="rId134" Type="http://schemas.openxmlformats.org/officeDocument/2006/relationships/hyperlink" Target="https://www.discogs.com/release/5797951-Myron-E-Do-It-Do-It-Disco" TargetMode="External"/><Relationship Id="rId80" Type="http://schemas.openxmlformats.org/officeDocument/2006/relationships/hyperlink" Target="https://www.discogs.com/release/328002-Gwen-McCrae-Doin-It" TargetMode="External"/><Relationship Id="rId155" Type="http://schemas.openxmlformats.org/officeDocument/2006/relationships/hyperlink" Target="https://www.discogs.com/release/1530038-Sapphire-Rock-Me-Slowly-Make-Love-To-The-Music" TargetMode="External"/><Relationship Id="rId176" Type="http://schemas.openxmlformats.org/officeDocument/2006/relationships/hyperlink" Target="https://www.discogs.com/release/37121607-The-Dukes-The-Dukes-Bugatti-Musker" TargetMode="External"/><Relationship Id="rId197" Type="http://schemas.openxmlformats.org/officeDocument/2006/relationships/hyperlink" Target="https://www.discogs.com/release/4314139-Bruno-Mars-Unorthodox-Jukebox" TargetMode="External"/><Relationship Id="rId201" Type="http://schemas.openxmlformats.org/officeDocument/2006/relationships/hyperlink" Target="https://www.discogs.com/fr/release/2177186-Surface-Lately/image/SW1hZ2U6OTk4MTU5NTk=" TargetMode="External"/><Relationship Id="rId17" Type="http://schemas.openxmlformats.org/officeDocument/2006/relationships/hyperlink" Target="https://www.discogs.com/release/854571-Bar-Kays-She-Talks-To-Me-With-Her-Body-Re-mix" TargetMode="External"/><Relationship Id="rId38" Type="http://schemas.openxmlformats.org/officeDocument/2006/relationships/hyperlink" Target="https://www.discogs.com/release/748557-Columbus-Circle-If-You-Read-My-Mind" TargetMode="External"/><Relationship Id="rId59" Type="http://schemas.openxmlformats.org/officeDocument/2006/relationships/hyperlink" Target="https://www.discogs.com/release/403633-Dynasty-Groove-Control" TargetMode="External"/><Relationship Id="rId103" Type="http://schemas.openxmlformats.org/officeDocument/2006/relationships/hyperlink" Target="https://www.discogs.com/release/541293-Karen-Young-You-Dont-Know-What-You-Got" TargetMode="External"/><Relationship Id="rId124" Type="http://schemas.openxmlformats.org/officeDocument/2006/relationships/hyperlink" Target="https://www.discogs.com/release/6032524-Melba-Moore-Take-My-Love-" TargetMode="External"/><Relationship Id="rId70" Type="http://schemas.openxmlformats.org/officeDocument/2006/relationships/hyperlink" Target="https://www.discogs.com/release/990875-Firefly-You-Can-Lead-Me-Show-Me-Tonight" TargetMode="External"/><Relationship Id="rId91" Type="http://schemas.openxmlformats.org/officeDocument/2006/relationships/hyperlink" Target="https://www.discogs.com/release/110198-Jamiroquai-Love-Foolosophy-Bini-Martini-Remixes" TargetMode="External"/><Relationship Id="rId145" Type="http://schemas.openxmlformats.org/officeDocument/2006/relationships/hyperlink" Target="https://www.discogs.com/release/70007-Regrets-Je-Ne-Veux-Pas-Rentrer-Chez-Moi-Seule" TargetMode="External"/><Relationship Id="rId166" Type="http://schemas.openxmlformats.org/officeDocument/2006/relationships/hyperlink" Target="https://www.discogs.com/release/206333-Sister-Sledge-Thinking-Of-You" TargetMode="External"/><Relationship Id="rId187" Type="http://schemas.openxmlformats.org/officeDocument/2006/relationships/hyperlink" Target="https://www.discogs.com/release/539552-Toto-Georgy-Porgy" TargetMode="External"/><Relationship Id="rId1" Type="http://schemas.openxmlformats.org/officeDocument/2006/relationships/hyperlink" Target="https://www.discogs.com/release/2238306-ABBA-Voulez-Vous-Does-Your-Mother-Know" TargetMode="External"/><Relationship Id="rId28" Type="http://schemas.openxmlformats.org/officeDocument/2006/relationships/hyperlink" Target="https://www.discogs.com/release/2430221-Central-Line-Dont-Tell-Me" TargetMode="External"/><Relationship Id="rId49" Type="http://schemas.openxmlformats.org/officeDocument/2006/relationships/hyperlink" Target="https://www.discogs.com/release/151084-Delegation-Heartache-No-9" TargetMode="External"/><Relationship Id="rId114" Type="http://schemas.openxmlformats.org/officeDocument/2006/relationships/hyperlink" Target="https://www.discogs.com/release/242471-Lew-Kirton-Dont-Give-Up-Your-Dream-Hang-On-In-There" TargetMode="External"/><Relationship Id="rId60" Type="http://schemas.openxmlformats.org/officeDocument/2006/relationships/hyperlink" Target="https://www.discogs.com/release/1392676-Eleanor-Goodman-Sneak-Preview" TargetMode="External"/><Relationship Id="rId81" Type="http://schemas.openxmlformats.org/officeDocument/2006/relationships/hyperlink" Target="https://www.discogs.com/release/110989-Harvey-Mason-Groovin-You" TargetMode="External"/><Relationship Id="rId135" Type="http://schemas.openxmlformats.org/officeDocument/2006/relationships/hyperlink" Target="https://www.discogs.com/release/10580174-Neddy-Smith-Give-It-Up" TargetMode="External"/><Relationship Id="rId156" Type="http://schemas.openxmlformats.org/officeDocument/2006/relationships/hyperlink" Target="https://www.discogs.com/release/415823-Second-Image-Cant-Keep-Holding-On" TargetMode="External"/><Relationship Id="rId177" Type="http://schemas.openxmlformats.org/officeDocument/2006/relationships/hyperlink" Target="https://www.discogs.com/release/1142111-Oattes-Van-Schaik-Love-Attaxx-Extended-Remix" TargetMode="External"/><Relationship Id="rId198" Type="http://schemas.openxmlformats.org/officeDocument/2006/relationships/hyperlink" Target="https://www.discogs.com/release/14543124-The-Chocolate-Buttermilk-Band-Aint-No-Way" TargetMode="External"/><Relationship Id="rId202" Type="http://schemas.openxmlformats.org/officeDocument/2006/relationships/hyperlink" Target="https://www.discogs.com/fr/release/205940-Luther-Vandross-Never-Too-Much" TargetMode="External"/><Relationship Id="rId18" Type="http://schemas.openxmlformats.org/officeDocument/2006/relationships/hyperlink" Target="https://www.discogs.com/fr/release/1417628-Bar-Kays-Flying-High-On-Your-Love" TargetMode="External"/><Relationship Id="rId39" Type="http://schemas.openxmlformats.org/officeDocument/2006/relationships/hyperlink" Target="https://www.discogs.com/release/1601285-Con-Funk-Shun-7" TargetMode="External"/><Relationship Id="rId50" Type="http://schemas.openxmlformats.org/officeDocument/2006/relationships/hyperlink" Target="https://www.discogs.com/release/208810-Delegation-You-And-I" TargetMode="External"/><Relationship Id="rId104" Type="http://schemas.openxmlformats.org/officeDocument/2006/relationships/hyperlink" Target="https://www.discogs.com/release/1673546-Khemistry-I-Cant-Lose-With-The-Stuff-I-Use" TargetMode="External"/><Relationship Id="rId125" Type="http://schemas.openxmlformats.org/officeDocument/2006/relationships/hyperlink" Target="https://www.discogs.com/release/2632930-Merge-Take-It-To-The-Top-Volcanic-Voodoo" TargetMode="External"/><Relationship Id="rId146" Type="http://schemas.openxmlformats.org/officeDocument/2006/relationships/hyperlink" Target="https://www.discogs.com/release/1510005-Rick-Smith-We-Should-Be-Lovers" TargetMode="External"/><Relationship Id="rId167" Type="http://schemas.openxmlformats.org/officeDocument/2006/relationships/hyperlink" Target="https://www.discogs.com/release/2721006-Smith-Whitaker-Company-Dont-Play-No-Games-With-My-Love" TargetMode="External"/><Relationship Id="rId188" Type="http://schemas.openxmlformats.org/officeDocument/2006/relationships/hyperlink" Target="https://www.discogs.com/release/5642912-UK-Players-Loves-Gonna-Get-You" TargetMode="External"/><Relationship Id="rId71" Type="http://schemas.openxmlformats.org/officeDocument/2006/relationships/hyperlink" Target="https://www.discogs.com/release/2349709-Five-OClock-When-The-Cats-Away" TargetMode="External"/><Relationship Id="rId92" Type="http://schemas.openxmlformats.org/officeDocument/2006/relationships/hyperlink" Target="https://www.discogs.com/release/3562650-Jean-Jacques-Goldman-Quand-La-Musique-Est-Bonn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discogs.com/master/130344-Luther-Vandross-Never-Too-Mu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34"/>
  <sheetViews>
    <sheetView tabSelected="1" zoomScale="120" zoomScaleNormal="120" workbookViewId="0">
      <pane ySplit="2" topLeftCell="A3" activePane="bottomLeft" state="frozen"/>
      <selection pane="bottomLeft" activeCell="F472" sqref="F472"/>
    </sheetView>
  </sheetViews>
  <sheetFormatPr baseColWidth="10" defaultRowHeight="15" x14ac:dyDescent="0.25"/>
  <cols>
    <col min="1" max="1" width="66.140625" bestFit="1" customWidth="1"/>
    <col min="2" max="2" width="13.28515625" style="22" bestFit="1" customWidth="1"/>
    <col min="3" max="3" width="12.5703125" bestFit="1" customWidth="1"/>
    <col min="4" max="4" width="52.140625" style="15" bestFit="1" customWidth="1"/>
    <col min="5" max="5" width="9" style="33" bestFit="1" customWidth="1"/>
    <col min="6" max="6" width="10.140625" style="47" customWidth="1"/>
    <col min="7" max="7" width="2.140625" style="20" customWidth="1"/>
    <col min="8" max="8" width="5.5703125" bestFit="1" customWidth="1"/>
    <col min="9" max="9" width="5.5703125" style="20" customWidth="1"/>
    <col min="10" max="10" width="4.28515625" bestFit="1" customWidth="1"/>
    <col min="11" max="11" width="3.85546875" customWidth="1"/>
    <col min="12" max="12" width="9.5703125" bestFit="1" customWidth="1"/>
  </cols>
  <sheetData>
    <row r="1" spans="1:14" x14ac:dyDescent="0.25">
      <c r="A1" s="79" t="s">
        <v>0</v>
      </c>
      <c r="B1" s="87" t="s">
        <v>1</v>
      </c>
      <c r="C1" s="87" t="s">
        <v>3</v>
      </c>
      <c r="D1" s="85" t="s">
        <v>304</v>
      </c>
      <c r="E1" s="83" t="s">
        <v>4</v>
      </c>
      <c r="F1" s="81" t="s">
        <v>546</v>
      </c>
      <c r="G1" s="76" t="s">
        <v>266</v>
      </c>
      <c r="H1" s="7" t="s">
        <v>266</v>
      </c>
      <c r="I1" s="73"/>
      <c r="J1" s="8" t="s">
        <v>5</v>
      </c>
      <c r="K1" s="16"/>
      <c r="L1" s="9" t="s">
        <v>267</v>
      </c>
    </row>
    <row r="2" spans="1:14" ht="15.75" thickBot="1" x14ac:dyDescent="0.3">
      <c r="A2" s="80"/>
      <c r="B2" s="88"/>
      <c r="C2" s="88"/>
      <c r="D2" s="86"/>
      <c r="E2" s="84"/>
      <c r="F2" s="82"/>
      <c r="G2" s="77"/>
      <c r="H2" s="10">
        <f>SUM(G3:G562)</f>
        <v>506</v>
      </c>
      <c r="I2" s="74"/>
      <c r="J2" s="11">
        <f>SUM(I3:I562)</f>
        <v>304</v>
      </c>
      <c r="K2" s="17"/>
      <c r="L2" s="12">
        <f>H2-J2</f>
        <v>202</v>
      </c>
    </row>
    <row r="3" spans="1:14" x14ac:dyDescent="0.25">
      <c r="A3" s="2" t="s">
        <v>394</v>
      </c>
      <c r="B3" s="21"/>
      <c r="C3" s="3"/>
      <c r="D3" s="14" t="s">
        <v>552</v>
      </c>
      <c r="E3" s="31"/>
      <c r="F3" s="45" t="s">
        <v>551</v>
      </c>
      <c r="G3" s="20">
        <f>COUNTA(A3)</f>
        <v>1</v>
      </c>
      <c r="H3" s="18"/>
      <c r="I3" s="19">
        <f t="shared" ref="I3" si="0">COUNTA(C3)</f>
        <v>0</v>
      </c>
      <c r="J3" s="19"/>
      <c r="K3" s="20"/>
      <c r="L3" s="19"/>
      <c r="M3" t="str">
        <f t="shared" ref="M3" si="1">IF(B3=1,E3,"")</f>
        <v/>
      </c>
      <c r="N3" t="str">
        <f>IF(B3=2,E3,"")</f>
        <v/>
      </c>
    </row>
    <row r="4" spans="1:14" x14ac:dyDescent="0.25">
      <c r="A4" s="4" t="s">
        <v>421</v>
      </c>
      <c r="B4" s="1"/>
      <c r="C4" s="5" t="s">
        <v>5</v>
      </c>
      <c r="D4" s="13" t="s">
        <v>422</v>
      </c>
      <c r="E4" s="30"/>
      <c r="F4" s="43"/>
      <c r="G4" s="20">
        <f t="shared" ref="G4:G69" si="2">COUNTA(A4)</f>
        <v>1</v>
      </c>
      <c r="H4" s="18"/>
      <c r="I4" s="19">
        <f t="shared" ref="I4:I69" si="3">COUNTA(C4)</f>
        <v>1</v>
      </c>
      <c r="J4" s="19"/>
      <c r="K4" s="20"/>
      <c r="L4" s="19"/>
      <c r="M4" t="str">
        <f t="shared" ref="M4:M73" si="4">IF(B4=1,E4,"")</f>
        <v/>
      </c>
      <c r="N4" t="str">
        <f t="shared" ref="N4:N73" si="5">IF(B4=2,E4,"")</f>
        <v/>
      </c>
    </row>
    <row r="5" spans="1:14" x14ac:dyDescent="0.25">
      <c r="A5" s="4" t="s">
        <v>2</v>
      </c>
      <c r="B5" s="1"/>
      <c r="C5" s="5" t="s">
        <v>5</v>
      </c>
      <c r="D5" s="13" t="s">
        <v>467</v>
      </c>
      <c r="E5" s="30"/>
      <c r="F5" s="43"/>
      <c r="G5" s="20">
        <f t="shared" si="2"/>
        <v>1</v>
      </c>
      <c r="H5" s="18"/>
      <c r="I5" s="19">
        <f t="shared" si="3"/>
        <v>1</v>
      </c>
      <c r="J5" s="19"/>
      <c r="K5" s="20"/>
      <c r="L5" s="19"/>
      <c r="M5" t="str">
        <f t="shared" si="4"/>
        <v/>
      </c>
      <c r="N5" t="str">
        <f t="shared" si="5"/>
        <v/>
      </c>
    </row>
    <row r="6" spans="1:14" x14ac:dyDescent="0.25">
      <c r="A6" s="58" t="s">
        <v>520</v>
      </c>
      <c r="B6" s="59"/>
      <c r="C6" s="59"/>
      <c r="D6" s="61" t="s">
        <v>430</v>
      </c>
      <c r="E6" s="62">
        <v>22</v>
      </c>
      <c r="F6" s="69" t="s">
        <v>547</v>
      </c>
      <c r="G6" s="20">
        <f t="shared" si="2"/>
        <v>1</v>
      </c>
      <c r="H6" s="18"/>
      <c r="I6" s="19">
        <f t="shared" si="3"/>
        <v>0</v>
      </c>
      <c r="J6" s="19"/>
      <c r="K6" s="20"/>
      <c r="L6" s="19"/>
      <c r="M6" t="str">
        <f t="shared" si="4"/>
        <v/>
      </c>
      <c r="N6" t="str">
        <f t="shared" si="5"/>
        <v/>
      </c>
    </row>
    <row r="7" spans="1:14" x14ac:dyDescent="0.25">
      <c r="A7" s="4" t="s">
        <v>447</v>
      </c>
      <c r="B7" s="1"/>
      <c r="C7" s="5" t="s">
        <v>5</v>
      </c>
      <c r="D7" s="13" t="s">
        <v>430</v>
      </c>
      <c r="E7" s="30">
        <v>18</v>
      </c>
      <c r="F7" s="43"/>
      <c r="G7" s="20">
        <f t="shared" si="2"/>
        <v>1</v>
      </c>
      <c r="H7" s="18"/>
      <c r="I7" s="19">
        <f t="shared" si="3"/>
        <v>1</v>
      </c>
      <c r="J7" s="19"/>
      <c r="K7" s="20"/>
      <c r="L7" s="19"/>
      <c r="M7" t="str">
        <f t="shared" si="4"/>
        <v/>
      </c>
      <c r="N7" t="str">
        <f t="shared" si="5"/>
        <v/>
      </c>
    </row>
    <row r="8" spans="1:14" x14ac:dyDescent="0.25">
      <c r="A8" s="4" t="s">
        <v>187</v>
      </c>
      <c r="B8" s="1"/>
      <c r="C8" s="5" t="s">
        <v>5</v>
      </c>
      <c r="D8" s="13"/>
      <c r="E8" s="30"/>
      <c r="F8" s="43"/>
      <c r="G8" s="20">
        <f t="shared" si="2"/>
        <v>1</v>
      </c>
      <c r="H8" s="18"/>
      <c r="I8" s="19">
        <f t="shared" si="3"/>
        <v>1</v>
      </c>
      <c r="J8" s="19"/>
      <c r="K8" s="20"/>
      <c r="L8" s="19"/>
      <c r="M8" t="str">
        <f t="shared" si="4"/>
        <v/>
      </c>
      <c r="N8" t="str">
        <f t="shared" si="5"/>
        <v/>
      </c>
    </row>
    <row r="9" spans="1:14" x14ac:dyDescent="0.25">
      <c r="A9" s="4" t="s">
        <v>478</v>
      </c>
      <c r="B9" s="1"/>
      <c r="C9" s="5" t="s">
        <v>5</v>
      </c>
      <c r="D9" s="13" t="s">
        <v>516</v>
      </c>
      <c r="E9" s="30">
        <v>15</v>
      </c>
      <c r="F9" s="43"/>
      <c r="G9" s="20">
        <f t="shared" si="2"/>
        <v>1</v>
      </c>
      <c r="H9" s="18"/>
      <c r="I9" s="19">
        <f t="shared" si="3"/>
        <v>1</v>
      </c>
      <c r="J9" s="19"/>
      <c r="K9" s="20"/>
      <c r="L9" s="19"/>
      <c r="M9" t="str">
        <f t="shared" si="4"/>
        <v/>
      </c>
      <c r="N9" t="str">
        <f t="shared" si="5"/>
        <v/>
      </c>
    </row>
    <row r="10" spans="1:14" x14ac:dyDescent="0.25">
      <c r="A10" s="58" t="s">
        <v>521</v>
      </c>
      <c r="B10" s="59" t="s">
        <v>519</v>
      </c>
      <c r="C10" s="60"/>
      <c r="D10" s="61" t="s">
        <v>430</v>
      </c>
      <c r="E10" s="62">
        <v>9</v>
      </c>
      <c r="F10" s="69" t="s">
        <v>548</v>
      </c>
      <c r="G10" s="20">
        <f t="shared" si="2"/>
        <v>1</v>
      </c>
      <c r="H10" s="18"/>
      <c r="I10" s="19">
        <f t="shared" si="3"/>
        <v>0</v>
      </c>
      <c r="J10" s="19"/>
      <c r="K10" s="20"/>
      <c r="L10" s="19"/>
    </row>
    <row r="11" spans="1:14" x14ac:dyDescent="0.25">
      <c r="A11" s="2" t="s">
        <v>197</v>
      </c>
      <c r="B11" s="21" t="s">
        <v>519</v>
      </c>
      <c r="C11" s="3"/>
      <c r="D11" s="14"/>
      <c r="E11" s="31"/>
      <c r="F11" s="45" t="s">
        <v>553</v>
      </c>
      <c r="G11" s="20">
        <f t="shared" si="2"/>
        <v>1</v>
      </c>
      <c r="H11" s="18"/>
      <c r="I11" s="19">
        <f t="shared" si="3"/>
        <v>0</v>
      </c>
      <c r="J11" s="19"/>
      <c r="K11" s="20"/>
      <c r="L11" s="19"/>
      <c r="M11" t="str">
        <f t="shared" si="4"/>
        <v/>
      </c>
      <c r="N11" t="str">
        <f t="shared" si="5"/>
        <v/>
      </c>
    </row>
    <row r="12" spans="1:14" x14ac:dyDescent="0.25">
      <c r="A12" s="2" t="s">
        <v>332</v>
      </c>
      <c r="B12" s="21"/>
      <c r="C12" s="3"/>
      <c r="D12" s="14"/>
      <c r="E12" s="31"/>
      <c r="F12" s="45" t="s">
        <v>554</v>
      </c>
      <c r="G12" s="20">
        <f t="shared" si="2"/>
        <v>1</v>
      </c>
      <c r="H12" s="18"/>
      <c r="I12" s="19">
        <f t="shared" si="3"/>
        <v>0</v>
      </c>
      <c r="J12" s="19"/>
      <c r="K12" s="20"/>
      <c r="L12" s="19"/>
      <c r="M12" t="str">
        <f t="shared" si="4"/>
        <v/>
      </c>
      <c r="N12" t="str">
        <f t="shared" si="5"/>
        <v/>
      </c>
    </row>
    <row r="13" spans="1:14" x14ac:dyDescent="0.25">
      <c r="A13" s="2" t="s">
        <v>415</v>
      </c>
      <c r="B13" s="21"/>
      <c r="C13" s="3"/>
      <c r="D13" s="14"/>
      <c r="E13" s="31"/>
      <c r="F13" s="45" t="s">
        <v>555</v>
      </c>
      <c r="G13" s="20">
        <f t="shared" si="2"/>
        <v>1</v>
      </c>
      <c r="H13" s="18"/>
      <c r="I13" s="19">
        <f t="shared" si="3"/>
        <v>0</v>
      </c>
      <c r="J13" s="19"/>
      <c r="K13" s="20"/>
      <c r="L13" s="19"/>
      <c r="M13" t="str">
        <f t="shared" si="4"/>
        <v/>
      </c>
      <c r="N13" t="str">
        <f t="shared" si="5"/>
        <v/>
      </c>
    </row>
    <row r="14" spans="1:14" x14ac:dyDescent="0.25">
      <c r="A14" s="2" t="s">
        <v>502</v>
      </c>
      <c r="B14" s="21"/>
      <c r="C14" s="3"/>
      <c r="D14" s="14" t="s">
        <v>557</v>
      </c>
      <c r="E14" s="31"/>
      <c r="F14" s="45" t="s">
        <v>556</v>
      </c>
      <c r="G14" s="20">
        <f t="shared" si="2"/>
        <v>1</v>
      </c>
      <c r="H14" s="18"/>
      <c r="I14" s="19">
        <f t="shared" si="3"/>
        <v>0</v>
      </c>
      <c r="J14" s="19"/>
      <c r="K14" s="20"/>
      <c r="L14" s="19"/>
      <c r="M14" t="str">
        <f t="shared" si="4"/>
        <v/>
      </c>
      <c r="N14" t="str">
        <f t="shared" si="5"/>
        <v/>
      </c>
    </row>
    <row r="15" spans="1:14" x14ac:dyDescent="0.25">
      <c r="A15" s="2" t="s">
        <v>25</v>
      </c>
      <c r="B15" s="21"/>
      <c r="C15" s="3"/>
      <c r="D15" s="14"/>
      <c r="E15" s="31"/>
      <c r="F15" s="45" t="s">
        <v>556</v>
      </c>
      <c r="G15" s="20">
        <f t="shared" si="2"/>
        <v>1</v>
      </c>
      <c r="H15" s="18"/>
      <c r="I15" s="19">
        <f t="shared" si="3"/>
        <v>0</v>
      </c>
      <c r="J15" s="19"/>
      <c r="K15" s="20"/>
      <c r="L15" s="19"/>
    </row>
    <row r="16" spans="1:14" x14ac:dyDescent="0.25">
      <c r="A16" s="2" t="s">
        <v>26</v>
      </c>
      <c r="B16" s="21"/>
      <c r="C16" s="3"/>
      <c r="D16" s="14"/>
      <c r="E16" s="31"/>
      <c r="F16" s="45" t="s">
        <v>558</v>
      </c>
      <c r="G16" s="20">
        <f t="shared" si="2"/>
        <v>1</v>
      </c>
      <c r="H16" s="18"/>
      <c r="I16" s="19">
        <f t="shared" si="3"/>
        <v>0</v>
      </c>
      <c r="J16" s="19"/>
      <c r="K16" s="20"/>
      <c r="L16" s="19"/>
      <c r="M16" t="str">
        <f t="shared" si="4"/>
        <v/>
      </c>
      <c r="N16" t="str">
        <f t="shared" si="5"/>
        <v/>
      </c>
    </row>
    <row r="17" spans="1:14" x14ac:dyDescent="0.25">
      <c r="A17" s="4" t="s">
        <v>381</v>
      </c>
      <c r="B17" s="1"/>
      <c r="C17" s="5" t="s">
        <v>5</v>
      </c>
      <c r="D17" s="13" t="s">
        <v>448</v>
      </c>
      <c r="E17" s="30">
        <v>13.5</v>
      </c>
      <c r="F17" s="43"/>
      <c r="G17" s="20">
        <f t="shared" si="2"/>
        <v>1</v>
      </c>
      <c r="H17" s="18"/>
      <c r="I17" s="19">
        <f t="shared" si="3"/>
        <v>1</v>
      </c>
      <c r="J17" s="19"/>
      <c r="K17" s="20"/>
      <c r="L17" s="19"/>
      <c r="M17" t="str">
        <f t="shared" si="4"/>
        <v/>
      </c>
      <c r="N17" t="str">
        <f t="shared" si="5"/>
        <v/>
      </c>
    </row>
    <row r="18" spans="1:14" x14ac:dyDescent="0.25">
      <c r="A18" s="4" t="s">
        <v>423</v>
      </c>
      <c r="B18" s="1"/>
      <c r="C18" s="5" t="s">
        <v>5</v>
      </c>
      <c r="D18" s="13" t="s">
        <v>422</v>
      </c>
      <c r="E18" s="30"/>
      <c r="F18" s="43"/>
      <c r="G18" s="20">
        <f t="shared" si="2"/>
        <v>1</v>
      </c>
      <c r="H18" s="18"/>
      <c r="I18" s="19">
        <f t="shared" si="3"/>
        <v>1</v>
      </c>
      <c r="J18" s="19"/>
      <c r="K18" s="20"/>
      <c r="L18" s="19"/>
      <c r="M18" t="str">
        <f t="shared" si="4"/>
        <v/>
      </c>
      <c r="N18" t="str">
        <f t="shared" si="5"/>
        <v/>
      </c>
    </row>
    <row r="19" spans="1:14" x14ac:dyDescent="0.25">
      <c r="A19" s="4" t="s">
        <v>373</v>
      </c>
      <c r="B19" s="1"/>
      <c r="C19" s="5" t="s">
        <v>5</v>
      </c>
      <c r="D19" s="13"/>
      <c r="E19" s="30"/>
      <c r="F19" s="43"/>
      <c r="G19" s="20">
        <f t="shared" si="2"/>
        <v>1</v>
      </c>
      <c r="H19" s="18"/>
      <c r="I19" s="19">
        <f t="shared" si="3"/>
        <v>1</v>
      </c>
      <c r="J19" s="19"/>
      <c r="K19" s="20"/>
      <c r="L19" s="19"/>
      <c r="M19" t="str">
        <f t="shared" si="4"/>
        <v/>
      </c>
      <c r="N19" t="str">
        <f t="shared" si="5"/>
        <v/>
      </c>
    </row>
    <row r="20" spans="1:14" x14ac:dyDescent="0.25">
      <c r="A20" s="4" t="s">
        <v>374</v>
      </c>
      <c r="B20" s="1"/>
      <c r="C20" s="5" t="s">
        <v>5</v>
      </c>
      <c r="D20" s="13" t="s">
        <v>430</v>
      </c>
      <c r="E20" s="30">
        <v>13.5</v>
      </c>
      <c r="F20" s="43"/>
      <c r="G20" s="20">
        <f t="shared" si="2"/>
        <v>1</v>
      </c>
      <c r="H20" s="18"/>
      <c r="I20" s="19">
        <f t="shared" si="3"/>
        <v>1</v>
      </c>
      <c r="J20" s="19"/>
      <c r="K20" s="20"/>
      <c r="L20" s="19"/>
      <c r="M20" t="str">
        <f t="shared" si="4"/>
        <v/>
      </c>
      <c r="N20" t="str">
        <f t="shared" si="5"/>
        <v/>
      </c>
    </row>
    <row r="21" spans="1:14" x14ac:dyDescent="0.25">
      <c r="A21" s="4" t="s">
        <v>344</v>
      </c>
      <c r="B21" s="1"/>
      <c r="C21" s="5" t="s">
        <v>5</v>
      </c>
      <c r="D21" s="13" t="s">
        <v>422</v>
      </c>
      <c r="E21" s="30"/>
      <c r="F21" s="43"/>
      <c r="G21" s="20">
        <f t="shared" si="2"/>
        <v>1</v>
      </c>
      <c r="H21" s="18"/>
      <c r="I21" s="19">
        <f t="shared" si="3"/>
        <v>1</v>
      </c>
      <c r="J21" s="19"/>
      <c r="K21" s="20"/>
      <c r="L21" s="19"/>
      <c r="M21" t="str">
        <f t="shared" si="4"/>
        <v/>
      </c>
      <c r="N21" t="str">
        <f t="shared" si="5"/>
        <v/>
      </c>
    </row>
    <row r="22" spans="1:14" x14ac:dyDescent="0.25">
      <c r="A22" s="4" t="s">
        <v>27</v>
      </c>
      <c r="B22" s="1"/>
      <c r="C22" s="5" t="s">
        <v>5</v>
      </c>
      <c r="D22" s="13" t="s">
        <v>559</v>
      </c>
      <c r="E22" s="30"/>
      <c r="F22" s="43"/>
      <c r="G22" s="20">
        <f t="shared" si="2"/>
        <v>1</v>
      </c>
      <c r="H22" s="18"/>
      <c r="I22" s="19">
        <f t="shared" si="3"/>
        <v>1</v>
      </c>
      <c r="J22" s="19"/>
      <c r="K22" s="20"/>
      <c r="L22" s="19"/>
      <c r="M22" t="str">
        <f t="shared" si="4"/>
        <v/>
      </c>
      <c r="N22" t="str">
        <f t="shared" si="5"/>
        <v/>
      </c>
    </row>
    <row r="23" spans="1:14" x14ac:dyDescent="0.25">
      <c r="A23" s="2" t="s">
        <v>28</v>
      </c>
      <c r="B23" s="21"/>
      <c r="C23" s="3"/>
      <c r="D23" s="14"/>
      <c r="E23" s="31"/>
      <c r="F23" s="45" t="s">
        <v>560</v>
      </c>
      <c r="G23" s="20">
        <f t="shared" si="2"/>
        <v>1</v>
      </c>
      <c r="H23" s="18"/>
      <c r="I23" s="19">
        <f t="shared" si="3"/>
        <v>0</v>
      </c>
      <c r="J23" s="19"/>
      <c r="K23" s="20"/>
      <c r="L23" s="19"/>
      <c r="M23" t="str">
        <f t="shared" si="4"/>
        <v/>
      </c>
      <c r="N23" t="str">
        <f t="shared" si="5"/>
        <v/>
      </c>
    </row>
    <row r="24" spans="1:14" x14ac:dyDescent="0.25">
      <c r="A24" s="4" t="s">
        <v>343</v>
      </c>
      <c r="B24" s="1"/>
      <c r="C24" s="5" t="s">
        <v>5</v>
      </c>
      <c r="D24" s="13"/>
      <c r="E24" s="30"/>
      <c r="F24" s="46"/>
      <c r="G24" s="20">
        <f t="shared" si="2"/>
        <v>1</v>
      </c>
      <c r="H24" s="18"/>
      <c r="I24" s="19">
        <f t="shared" si="3"/>
        <v>1</v>
      </c>
      <c r="J24" s="19"/>
      <c r="K24" s="20"/>
      <c r="L24" s="19"/>
      <c r="M24" t="str">
        <f t="shared" si="4"/>
        <v/>
      </c>
      <c r="N24" t="str">
        <f t="shared" si="5"/>
        <v/>
      </c>
    </row>
    <row r="25" spans="1:14" x14ac:dyDescent="0.25">
      <c r="A25" s="4" t="s">
        <v>29</v>
      </c>
      <c r="B25" s="1"/>
      <c r="C25" s="5" t="s">
        <v>5</v>
      </c>
      <c r="D25" s="13" t="s">
        <v>561</v>
      </c>
      <c r="E25" s="30"/>
      <c r="F25" s="46"/>
      <c r="G25" s="20">
        <f t="shared" si="2"/>
        <v>1</v>
      </c>
      <c r="H25" s="18"/>
      <c r="I25" s="19">
        <f t="shared" si="3"/>
        <v>1</v>
      </c>
      <c r="J25" s="19"/>
      <c r="K25" s="20"/>
      <c r="L25" s="19"/>
      <c r="M25" t="str">
        <f t="shared" si="4"/>
        <v/>
      </c>
      <c r="N25" t="str">
        <f t="shared" si="5"/>
        <v/>
      </c>
    </row>
    <row r="26" spans="1:14" x14ac:dyDescent="0.25">
      <c r="A26" s="2" t="s">
        <v>30</v>
      </c>
      <c r="B26" s="21"/>
      <c r="C26" s="3"/>
      <c r="D26" s="14"/>
      <c r="E26" s="31"/>
      <c r="F26" s="45" t="s">
        <v>562</v>
      </c>
      <c r="G26" s="20">
        <f t="shared" si="2"/>
        <v>1</v>
      </c>
      <c r="H26" s="18"/>
      <c r="I26" s="19">
        <f t="shared" si="3"/>
        <v>0</v>
      </c>
      <c r="J26" s="19"/>
      <c r="K26" s="20"/>
      <c r="L26" s="19"/>
      <c r="M26" t="str">
        <f t="shared" si="4"/>
        <v/>
      </c>
      <c r="N26" t="str">
        <f t="shared" si="5"/>
        <v/>
      </c>
    </row>
    <row r="27" spans="1:14" x14ac:dyDescent="0.25">
      <c r="A27" s="4" t="s">
        <v>31</v>
      </c>
      <c r="B27" s="1"/>
      <c r="C27" s="5" t="s">
        <v>5</v>
      </c>
      <c r="D27" s="13"/>
      <c r="E27" s="30"/>
      <c r="F27" s="43"/>
      <c r="G27" s="20">
        <f t="shared" si="2"/>
        <v>1</v>
      </c>
      <c r="H27" s="18"/>
      <c r="I27" s="19">
        <f t="shared" si="3"/>
        <v>1</v>
      </c>
      <c r="J27" s="19"/>
      <c r="K27" s="20"/>
      <c r="L27" s="19"/>
      <c r="M27" t="str">
        <f t="shared" si="4"/>
        <v/>
      </c>
      <c r="N27" t="str">
        <f t="shared" si="5"/>
        <v/>
      </c>
    </row>
    <row r="28" spans="1:14" x14ac:dyDescent="0.25">
      <c r="A28" s="2" t="s">
        <v>346</v>
      </c>
      <c r="B28" s="21"/>
      <c r="C28" s="3"/>
      <c r="D28" s="14"/>
      <c r="E28" s="31"/>
      <c r="F28" s="45" t="s">
        <v>563</v>
      </c>
      <c r="G28" s="20">
        <f t="shared" si="2"/>
        <v>1</v>
      </c>
      <c r="H28" s="18"/>
      <c r="I28" s="19">
        <f t="shared" si="3"/>
        <v>0</v>
      </c>
      <c r="J28" s="19"/>
      <c r="K28" s="20"/>
      <c r="L28" s="19"/>
      <c r="M28" t="str">
        <f t="shared" si="4"/>
        <v/>
      </c>
      <c r="N28" t="str">
        <f t="shared" si="5"/>
        <v/>
      </c>
    </row>
    <row r="29" spans="1:14" x14ac:dyDescent="0.25">
      <c r="A29" s="4" t="s">
        <v>397</v>
      </c>
      <c r="B29" s="1"/>
      <c r="C29" s="5" t="s">
        <v>5</v>
      </c>
      <c r="D29" s="13" t="s">
        <v>422</v>
      </c>
      <c r="E29" s="30"/>
      <c r="F29" s="43"/>
      <c r="G29" s="20">
        <f t="shared" si="2"/>
        <v>1</v>
      </c>
      <c r="H29" s="18"/>
      <c r="I29" s="19">
        <f t="shared" si="3"/>
        <v>1</v>
      </c>
      <c r="J29" s="19"/>
      <c r="K29" s="20"/>
      <c r="L29" s="19"/>
      <c r="M29" t="str">
        <f t="shared" si="4"/>
        <v/>
      </c>
      <c r="N29" t="str">
        <f t="shared" si="5"/>
        <v/>
      </c>
    </row>
    <row r="30" spans="1:14" x14ac:dyDescent="0.25">
      <c r="A30" s="4" t="s">
        <v>402</v>
      </c>
      <c r="B30" s="1"/>
      <c r="C30" s="5" t="s">
        <v>5</v>
      </c>
      <c r="D30" s="13"/>
      <c r="E30" s="30"/>
      <c r="F30" s="43"/>
      <c r="G30" s="20">
        <f t="shared" si="2"/>
        <v>1</v>
      </c>
      <c r="H30" s="18"/>
      <c r="I30" s="19">
        <f t="shared" si="3"/>
        <v>1</v>
      </c>
      <c r="J30" s="19"/>
      <c r="K30" s="20"/>
      <c r="L30" s="19"/>
      <c r="M30" t="str">
        <f t="shared" si="4"/>
        <v/>
      </c>
      <c r="N30" t="str">
        <f t="shared" si="5"/>
        <v/>
      </c>
    </row>
    <row r="31" spans="1:14" x14ac:dyDescent="0.25">
      <c r="A31" s="2" t="s">
        <v>321</v>
      </c>
      <c r="B31" s="21"/>
      <c r="C31" s="3"/>
      <c r="D31" s="14"/>
      <c r="E31" s="31"/>
      <c r="F31" s="45" t="s">
        <v>564</v>
      </c>
      <c r="G31" s="20">
        <f t="shared" si="2"/>
        <v>1</v>
      </c>
      <c r="H31" s="18"/>
      <c r="I31" s="19">
        <f t="shared" si="3"/>
        <v>0</v>
      </c>
      <c r="J31" s="19"/>
      <c r="K31" s="20"/>
      <c r="L31" s="19"/>
      <c r="M31" t="str">
        <f t="shared" si="4"/>
        <v/>
      </c>
      <c r="N31" t="str">
        <f t="shared" si="5"/>
        <v/>
      </c>
    </row>
    <row r="32" spans="1:14" x14ac:dyDescent="0.25">
      <c r="A32" s="4" t="s">
        <v>32</v>
      </c>
      <c r="B32" s="1"/>
      <c r="C32" s="5" t="s">
        <v>5</v>
      </c>
      <c r="D32" s="13"/>
      <c r="E32" s="30"/>
      <c r="F32" s="43"/>
      <c r="G32" s="20">
        <f t="shared" si="2"/>
        <v>1</v>
      </c>
      <c r="H32" s="18"/>
      <c r="I32" s="19">
        <f t="shared" si="3"/>
        <v>1</v>
      </c>
      <c r="J32" s="19"/>
      <c r="K32" s="20"/>
      <c r="L32" s="19"/>
      <c r="M32" t="str">
        <f t="shared" si="4"/>
        <v/>
      </c>
      <c r="N32" t="str">
        <f t="shared" si="5"/>
        <v/>
      </c>
    </row>
    <row r="33" spans="1:14" x14ac:dyDescent="0.25">
      <c r="A33" s="4" t="s">
        <v>23</v>
      </c>
      <c r="B33" s="1"/>
      <c r="C33" s="5" t="s">
        <v>5</v>
      </c>
      <c r="D33" s="13"/>
      <c r="E33" s="30"/>
      <c r="F33" s="43"/>
      <c r="G33" s="20">
        <f t="shared" si="2"/>
        <v>1</v>
      </c>
      <c r="H33" s="18"/>
      <c r="I33" s="19">
        <f t="shared" si="3"/>
        <v>1</v>
      </c>
      <c r="J33" s="19"/>
      <c r="K33" s="20"/>
      <c r="L33" s="19"/>
      <c r="M33" t="str">
        <f t="shared" si="4"/>
        <v/>
      </c>
      <c r="N33" t="str">
        <f t="shared" si="5"/>
        <v/>
      </c>
    </row>
    <row r="34" spans="1:14" x14ac:dyDescent="0.25">
      <c r="A34" s="4" t="s">
        <v>33</v>
      </c>
      <c r="B34" s="1"/>
      <c r="C34" s="5" t="s">
        <v>5</v>
      </c>
      <c r="D34" s="13" t="s">
        <v>422</v>
      </c>
      <c r="E34" s="30"/>
      <c r="F34" s="43"/>
      <c r="G34" s="20">
        <f t="shared" si="2"/>
        <v>1</v>
      </c>
      <c r="H34" s="18"/>
      <c r="I34" s="19">
        <f t="shared" si="3"/>
        <v>1</v>
      </c>
      <c r="J34" s="19"/>
      <c r="K34" s="20"/>
      <c r="L34" s="19"/>
      <c r="M34" t="str">
        <f t="shared" si="4"/>
        <v/>
      </c>
      <c r="N34" t="str">
        <f t="shared" si="5"/>
        <v/>
      </c>
    </row>
    <row r="35" spans="1:14" x14ac:dyDescent="0.25">
      <c r="A35" s="2" t="s">
        <v>34</v>
      </c>
      <c r="B35" s="21"/>
      <c r="C35" s="3"/>
      <c r="D35" s="14" t="s">
        <v>566</v>
      </c>
      <c r="E35" s="31"/>
      <c r="F35" s="45" t="s">
        <v>565</v>
      </c>
      <c r="G35" s="20">
        <f t="shared" si="2"/>
        <v>1</v>
      </c>
      <c r="H35" s="18"/>
      <c r="I35" s="19">
        <f t="shared" si="3"/>
        <v>0</v>
      </c>
      <c r="J35" s="19"/>
      <c r="K35" s="20"/>
      <c r="L35" s="19"/>
      <c r="M35" t="str">
        <f t="shared" si="4"/>
        <v/>
      </c>
      <c r="N35" t="str">
        <f t="shared" si="5"/>
        <v/>
      </c>
    </row>
    <row r="36" spans="1:14" x14ac:dyDescent="0.25">
      <c r="A36" s="4" t="s">
        <v>35</v>
      </c>
      <c r="B36" s="1"/>
      <c r="C36" s="5" t="s">
        <v>5</v>
      </c>
      <c r="D36" s="13" t="s">
        <v>430</v>
      </c>
      <c r="E36" s="30">
        <v>19</v>
      </c>
      <c r="F36" s="43"/>
      <c r="G36" s="20">
        <f t="shared" si="2"/>
        <v>1</v>
      </c>
      <c r="H36" s="18"/>
      <c r="I36" s="19">
        <f t="shared" si="3"/>
        <v>1</v>
      </c>
      <c r="J36" s="19"/>
      <c r="K36" s="20"/>
      <c r="L36" s="19"/>
      <c r="M36" t="str">
        <f t="shared" si="4"/>
        <v/>
      </c>
      <c r="N36" t="str">
        <f t="shared" si="5"/>
        <v/>
      </c>
    </row>
    <row r="37" spans="1:14" x14ac:dyDescent="0.25">
      <c r="A37" s="4" t="s">
        <v>400</v>
      </c>
      <c r="B37" s="1"/>
      <c r="C37" s="5" t="s">
        <v>5</v>
      </c>
      <c r="D37" s="13" t="s">
        <v>428</v>
      </c>
      <c r="E37" s="30"/>
      <c r="F37" s="43"/>
      <c r="G37" s="20">
        <f t="shared" si="2"/>
        <v>1</v>
      </c>
      <c r="H37" s="18"/>
      <c r="I37" s="19">
        <f t="shared" si="3"/>
        <v>1</v>
      </c>
      <c r="J37" s="19"/>
      <c r="K37" s="20"/>
      <c r="L37" s="19"/>
      <c r="M37" t="str">
        <f t="shared" si="4"/>
        <v/>
      </c>
      <c r="N37" t="str">
        <f t="shared" si="5"/>
        <v/>
      </c>
    </row>
    <row r="38" spans="1:14" x14ac:dyDescent="0.25">
      <c r="A38" s="2" t="s">
        <v>568</v>
      </c>
      <c r="B38" s="21"/>
      <c r="C38" s="3"/>
      <c r="D38" s="14" t="s">
        <v>430</v>
      </c>
      <c r="E38" s="31">
        <v>8</v>
      </c>
      <c r="F38" s="45" t="s">
        <v>567</v>
      </c>
      <c r="G38" s="20">
        <f t="shared" si="2"/>
        <v>1</v>
      </c>
      <c r="H38" s="18"/>
      <c r="I38" s="19">
        <f t="shared" si="3"/>
        <v>0</v>
      </c>
      <c r="J38" s="19"/>
      <c r="K38" s="20"/>
      <c r="L38" s="19"/>
      <c r="M38" t="str">
        <f t="shared" si="4"/>
        <v/>
      </c>
      <c r="N38" t="str">
        <f t="shared" si="5"/>
        <v/>
      </c>
    </row>
    <row r="39" spans="1:14" x14ac:dyDescent="0.25">
      <c r="A39" s="4" t="s">
        <v>238</v>
      </c>
      <c r="B39" s="1"/>
      <c r="C39" s="5" t="s">
        <v>5</v>
      </c>
      <c r="D39" s="13"/>
      <c r="E39" s="30"/>
      <c r="F39" s="43"/>
      <c r="G39" s="20">
        <f t="shared" si="2"/>
        <v>1</v>
      </c>
      <c r="H39" s="18"/>
      <c r="I39" s="19">
        <f t="shared" si="3"/>
        <v>1</v>
      </c>
      <c r="J39" s="19"/>
      <c r="K39" s="20"/>
      <c r="L39" s="19"/>
      <c r="M39" t="str">
        <f t="shared" si="4"/>
        <v/>
      </c>
      <c r="N39" t="str">
        <f t="shared" si="5"/>
        <v/>
      </c>
    </row>
    <row r="40" spans="1:14" x14ac:dyDescent="0.25">
      <c r="A40" s="4" t="s">
        <v>431</v>
      </c>
      <c r="B40" s="1"/>
      <c r="C40" s="5" t="s">
        <v>5</v>
      </c>
      <c r="D40" s="13" t="s">
        <v>430</v>
      </c>
      <c r="E40" s="30">
        <v>11</v>
      </c>
      <c r="F40" s="46"/>
      <c r="G40" s="20">
        <f t="shared" si="2"/>
        <v>1</v>
      </c>
      <c r="H40" s="18"/>
      <c r="I40" s="19">
        <f t="shared" si="3"/>
        <v>1</v>
      </c>
      <c r="J40" s="19"/>
      <c r="K40" s="20"/>
      <c r="L40" s="19"/>
      <c r="M40" t="str">
        <f t="shared" si="4"/>
        <v/>
      </c>
      <c r="N40" t="str">
        <f t="shared" si="5"/>
        <v/>
      </c>
    </row>
    <row r="41" spans="1:14" x14ac:dyDescent="0.25">
      <c r="A41" s="4" t="s">
        <v>524</v>
      </c>
      <c r="B41" s="1"/>
      <c r="C41" s="5" t="s">
        <v>5</v>
      </c>
      <c r="D41" s="13" t="s">
        <v>523</v>
      </c>
      <c r="E41" s="30">
        <v>15</v>
      </c>
      <c r="F41" s="43"/>
      <c r="G41" s="20">
        <f t="shared" si="2"/>
        <v>1</v>
      </c>
      <c r="H41" s="18"/>
      <c r="I41" s="19">
        <f t="shared" si="3"/>
        <v>1</v>
      </c>
      <c r="J41" s="19"/>
      <c r="K41" s="20"/>
      <c r="L41" s="19"/>
      <c r="M41" t="str">
        <f t="shared" si="4"/>
        <v/>
      </c>
      <c r="N41" t="str">
        <f t="shared" si="5"/>
        <v/>
      </c>
    </row>
    <row r="42" spans="1:14" x14ac:dyDescent="0.25">
      <c r="A42" s="2" t="s">
        <v>382</v>
      </c>
      <c r="B42" s="21"/>
      <c r="C42" s="3"/>
      <c r="D42" s="14"/>
      <c r="E42" s="31"/>
      <c r="F42" s="45" t="s">
        <v>569</v>
      </c>
      <c r="G42" s="20">
        <f t="shared" si="2"/>
        <v>1</v>
      </c>
      <c r="H42" s="18"/>
      <c r="I42" s="19">
        <f t="shared" si="3"/>
        <v>0</v>
      </c>
      <c r="J42" s="19"/>
      <c r="K42" s="20"/>
      <c r="L42" s="19"/>
      <c r="M42" t="str">
        <f t="shared" si="4"/>
        <v/>
      </c>
      <c r="N42" t="str">
        <f t="shared" si="5"/>
        <v/>
      </c>
    </row>
    <row r="43" spans="1:14" x14ac:dyDescent="0.25">
      <c r="A43" s="2" t="s">
        <v>36</v>
      </c>
      <c r="B43" s="21"/>
      <c r="C43" s="3"/>
      <c r="D43" s="14" t="s">
        <v>429</v>
      </c>
      <c r="E43" s="31"/>
      <c r="F43" s="45" t="s">
        <v>788</v>
      </c>
      <c r="G43" s="20">
        <f t="shared" si="2"/>
        <v>1</v>
      </c>
      <c r="H43" s="18"/>
      <c r="I43" s="19">
        <f t="shared" si="3"/>
        <v>0</v>
      </c>
      <c r="J43" s="19"/>
      <c r="K43" s="20"/>
      <c r="L43" s="19"/>
      <c r="M43" t="str">
        <f t="shared" si="4"/>
        <v/>
      </c>
      <c r="N43" t="str">
        <f t="shared" si="5"/>
        <v/>
      </c>
    </row>
    <row r="44" spans="1:14" x14ac:dyDescent="0.25">
      <c r="A44" s="4" t="s">
        <v>37</v>
      </c>
      <c r="B44" s="1"/>
      <c r="C44" s="5" t="s">
        <v>5</v>
      </c>
      <c r="D44" s="13" t="s">
        <v>493</v>
      </c>
      <c r="E44" s="30">
        <v>6.73</v>
      </c>
      <c r="F44" s="43"/>
      <c r="G44" s="20">
        <f t="shared" si="2"/>
        <v>1</v>
      </c>
      <c r="H44" s="18"/>
      <c r="I44" s="19">
        <f t="shared" si="3"/>
        <v>1</v>
      </c>
      <c r="J44" s="19"/>
      <c r="K44" s="20"/>
      <c r="L44" s="19"/>
      <c r="M44" t="str">
        <f t="shared" si="4"/>
        <v/>
      </c>
      <c r="N44" t="str">
        <f t="shared" si="5"/>
        <v/>
      </c>
    </row>
    <row r="45" spans="1:14" x14ac:dyDescent="0.25">
      <c r="A45" s="4" t="s">
        <v>38</v>
      </c>
      <c r="B45" s="1"/>
      <c r="C45" s="5" t="s">
        <v>5</v>
      </c>
      <c r="D45" s="13"/>
      <c r="E45" s="30"/>
      <c r="F45" s="46"/>
      <c r="G45" s="20">
        <f t="shared" si="2"/>
        <v>1</v>
      </c>
      <c r="H45" s="18"/>
      <c r="I45" s="19">
        <f t="shared" si="3"/>
        <v>1</v>
      </c>
      <c r="J45" s="19"/>
      <c r="K45" s="20"/>
      <c r="L45" s="19"/>
    </row>
    <row r="46" spans="1:14" x14ac:dyDescent="0.25">
      <c r="A46" s="4" t="s">
        <v>39</v>
      </c>
      <c r="B46" s="1"/>
      <c r="C46" s="5" t="s">
        <v>5</v>
      </c>
      <c r="D46" s="13"/>
      <c r="E46" s="30"/>
      <c r="F46" s="43"/>
      <c r="G46" s="20">
        <f t="shared" si="2"/>
        <v>1</v>
      </c>
      <c r="H46" s="18"/>
      <c r="I46" s="19">
        <f t="shared" si="3"/>
        <v>1</v>
      </c>
      <c r="J46" s="19"/>
      <c r="K46" s="20"/>
      <c r="L46" s="19"/>
      <c r="M46" t="str">
        <f t="shared" si="4"/>
        <v/>
      </c>
      <c r="N46" t="str">
        <f t="shared" si="5"/>
        <v/>
      </c>
    </row>
    <row r="47" spans="1:14" x14ac:dyDescent="0.25">
      <c r="A47" s="2" t="s">
        <v>365</v>
      </c>
      <c r="B47" s="21"/>
      <c r="C47" s="3"/>
      <c r="D47" s="14"/>
      <c r="E47" s="31"/>
      <c r="F47" s="45" t="s">
        <v>570</v>
      </c>
      <c r="G47" s="20">
        <f t="shared" si="2"/>
        <v>1</v>
      </c>
      <c r="H47" s="18"/>
      <c r="I47" s="19">
        <f t="shared" si="3"/>
        <v>0</v>
      </c>
      <c r="J47" s="19"/>
      <c r="K47" s="20"/>
      <c r="L47" s="19"/>
      <c r="M47" t="str">
        <f t="shared" si="4"/>
        <v/>
      </c>
      <c r="N47" t="str">
        <f t="shared" si="5"/>
        <v/>
      </c>
    </row>
    <row r="48" spans="1:14" x14ac:dyDescent="0.25">
      <c r="A48" s="4" t="s">
        <v>549</v>
      </c>
      <c r="B48" s="1"/>
      <c r="C48" s="5" t="s">
        <v>5</v>
      </c>
      <c r="D48" s="13" t="s">
        <v>430</v>
      </c>
      <c r="E48" s="30">
        <v>13.5</v>
      </c>
      <c r="F48" s="46"/>
      <c r="G48" s="20">
        <f t="shared" si="2"/>
        <v>1</v>
      </c>
      <c r="H48" s="18"/>
      <c r="I48" s="19">
        <f t="shared" si="3"/>
        <v>1</v>
      </c>
      <c r="J48" s="19"/>
      <c r="K48" s="20"/>
      <c r="L48" s="19"/>
      <c r="M48" t="str">
        <f t="shared" si="4"/>
        <v/>
      </c>
      <c r="N48" t="str">
        <f t="shared" si="5"/>
        <v/>
      </c>
    </row>
    <row r="49" spans="1:14" x14ac:dyDescent="0.25">
      <c r="A49" s="4" t="s">
        <v>535</v>
      </c>
      <c r="B49" s="1"/>
      <c r="C49" s="5" t="s">
        <v>5</v>
      </c>
      <c r="D49" s="13" t="s">
        <v>430</v>
      </c>
      <c r="E49" s="30">
        <v>12</v>
      </c>
      <c r="F49" s="46"/>
      <c r="G49" s="20">
        <f t="shared" si="2"/>
        <v>1</v>
      </c>
      <c r="H49" s="18"/>
      <c r="I49" s="19">
        <f t="shared" si="3"/>
        <v>1</v>
      </c>
      <c r="J49" s="19"/>
      <c r="K49" s="20"/>
      <c r="L49" s="19"/>
      <c r="M49" t="str">
        <f t="shared" si="4"/>
        <v/>
      </c>
      <c r="N49" t="str">
        <f t="shared" si="5"/>
        <v/>
      </c>
    </row>
    <row r="50" spans="1:14" x14ac:dyDescent="0.25">
      <c r="A50" s="4" t="s">
        <v>432</v>
      </c>
      <c r="B50" s="1"/>
      <c r="C50" s="5" t="s">
        <v>5</v>
      </c>
      <c r="D50" s="13" t="s">
        <v>430</v>
      </c>
      <c r="E50" s="30">
        <v>15</v>
      </c>
      <c r="F50" s="43"/>
      <c r="G50" s="20">
        <f t="shared" si="2"/>
        <v>1</v>
      </c>
      <c r="H50" s="18"/>
      <c r="I50" s="19">
        <f t="shared" si="3"/>
        <v>1</v>
      </c>
      <c r="J50" s="19"/>
      <c r="K50" s="20"/>
      <c r="L50" s="19"/>
      <c r="M50" t="str">
        <f t="shared" si="4"/>
        <v/>
      </c>
      <c r="N50" t="str">
        <f t="shared" si="5"/>
        <v/>
      </c>
    </row>
    <row r="51" spans="1:14" x14ac:dyDescent="0.25">
      <c r="A51" s="4" t="s">
        <v>40</v>
      </c>
      <c r="B51" s="1"/>
      <c r="C51" s="5" t="s">
        <v>5</v>
      </c>
      <c r="D51" s="13"/>
      <c r="E51" s="30"/>
      <c r="F51" s="43"/>
      <c r="G51" s="20">
        <f t="shared" si="2"/>
        <v>1</v>
      </c>
      <c r="H51" s="18"/>
      <c r="I51" s="19">
        <f t="shared" si="3"/>
        <v>1</v>
      </c>
      <c r="J51" s="19"/>
      <c r="K51" s="20"/>
      <c r="L51" s="19"/>
      <c r="M51" t="str">
        <f t="shared" si="4"/>
        <v/>
      </c>
      <c r="N51" t="str">
        <f t="shared" si="5"/>
        <v/>
      </c>
    </row>
    <row r="52" spans="1:14" x14ac:dyDescent="0.25">
      <c r="A52" s="4" t="s">
        <v>433</v>
      </c>
      <c r="B52" s="1"/>
      <c r="C52" s="5" t="s">
        <v>5</v>
      </c>
      <c r="D52" s="13" t="s">
        <v>430</v>
      </c>
      <c r="E52" s="30">
        <v>23</v>
      </c>
      <c r="F52" s="43"/>
      <c r="G52" s="20">
        <f t="shared" si="2"/>
        <v>1</v>
      </c>
      <c r="H52" s="18"/>
      <c r="I52" s="19">
        <f t="shared" si="3"/>
        <v>1</v>
      </c>
      <c r="J52" s="19"/>
      <c r="K52" s="20"/>
      <c r="L52" s="19"/>
      <c r="M52" t="str">
        <f t="shared" si="4"/>
        <v/>
      </c>
      <c r="N52" t="str">
        <f t="shared" si="5"/>
        <v/>
      </c>
    </row>
    <row r="53" spans="1:14" x14ac:dyDescent="0.25">
      <c r="A53" s="2" t="s">
        <v>322</v>
      </c>
      <c r="B53" s="21"/>
      <c r="C53" s="3"/>
      <c r="D53" s="14"/>
      <c r="E53" s="31"/>
      <c r="F53" s="45" t="s">
        <v>571</v>
      </c>
      <c r="G53" s="20">
        <f t="shared" si="2"/>
        <v>1</v>
      </c>
      <c r="H53" s="18"/>
      <c r="I53" s="19">
        <f t="shared" si="3"/>
        <v>0</v>
      </c>
      <c r="J53" s="19"/>
      <c r="K53" s="20"/>
      <c r="L53" s="19"/>
    </row>
    <row r="54" spans="1:14" x14ac:dyDescent="0.25">
      <c r="A54" s="2" t="s">
        <v>573</v>
      </c>
      <c r="B54" s="21"/>
      <c r="C54" s="3"/>
      <c r="D54" s="14" t="s">
        <v>572</v>
      </c>
      <c r="E54" s="31"/>
      <c r="F54" s="45" t="s">
        <v>574</v>
      </c>
      <c r="G54" s="20">
        <f t="shared" si="2"/>
        <v>1</v>
      </c>
      <c r="H54" s="18"/>
      <c r="I54" s="19">
        <f t="shared" si="3"/>
        <v>0</v>
      </c>
      <c r="J54" s="19"/>
      <c r="K54" s="20"/>
      <c r="L54" s="19"/>
    </row>
    <row r="55" spans="1:14" x14ac:dyDescent="0.25">
      <c r="A55" s="4" t="s">
        <v>367</v>
      </c>
      <c r="B55" s="1"/>
      <c r="C55" s="5" t="s">
        <v>5</v>
      </c>
      <c r="D55" s="13" t="s">
        <v>430</v>
      </c>
      <c r="E55" s="30">
        <v>14</v>
      </c>
      <c r="F55" s="43"/>
      <c r="G55" s="20">
        <f t="shared" si="2"/>
        <v>1</v>
      </c>
      <c r="H55" s="18"/>
      <c r="I55" s="19">
        <f t="shared" si="3"/>
        <v>1</v>
      </c>
      <c r="J55" s="19"/>
      <c r="K55" s="20"/>
      <c r="L55" s="19"/>
      <c r="M55" t="str">
        <f t="shared" si="4"/>
        <v/>
      </c>
      <c r="N55" t="str">
        <f t="shared" si="5"/>
        <v/>
      </c>
    </row>
    <row r="56" spans="1:14" x14ac:dyDescent="0.25">
      <c r="A56" s="4" t="s">
        <v>41</v>
      </c>
      <c r="B56" s="1"/>
      <c r="C56" s="5" t="s">
        <v>5</v>
      </c>
      <c r="D56" s="13"/>
      <c r="E56" s="30"/>
      <c r="F56" s="43"/>
      <c r="G56" s="20">
        <f t="shared" si="2"/>
        <v>1</v>
      </c>
      <c r="H56" s="18"/>
      <c r="I56" s="19">
        <f t="shared" si="3"/>
        <v>1</v>
      </c>
      <c r="J56" s="19"/>
      <c r="K56" s="20"/>
      <c r="L56" s="19"/>
      <c r="M56" t="str">
        <f t="shared" si="4"/>
        <v/>
      </c>
      <c r="N56" t="str">
        <f t="shared" si="5"/>
        <v/>
      </c>
    </row>
    <row r="57" spans="1:14" x14ac:dyDescent="0.25">
      <c r="A57" s="4" t="s">
        <v>42</v>
      </c>
      <c r="B57" s="1"/>
      <c r="C57" s="5" t="s">
        <v>5</v>
      </c>
      <c r="D57" s="13"/>
      <c r="E57" s="30"/>
      <c r="F57" s="43"/>
      <c r="G57" s="20">
        <f t="shared" si="2"/>
        <v>1</v>
      </c>
      <c r="H57" s="18"/>
      <c r="I57" s="19">
        <f t="shared" si="3"/>
        <v>1</v>
      </c>
      <c r="J57" s="19"/>
      <c r="K57" s="20"/>
      <c r="L57" s="19"/>
      <c r="M57" t="str">
        <f t="shared" si="4"/>
        <v/>
      </c>
      <c r="N57" t="str">
        <f t="shared" si="5"/>
        <v/>
      </c>
    </row>
    <row r="58" spans="1:14" x14ac:dyDescent="0.25">
      <c r="A58" s="4" t="s">
        <v>174</v>
      </c>
      <c r="B58" s="1"/>
      <c r="C58" s="5" t="s">
        <v>5</v>
      </c>
      <c r="D58" s="13" t="s">
        <v>430</v>
      </c>
      <c r="E58" s="30">
        <v>25</v>
      </c>
      <c r="F58" s="43"/>
      <c r="G58" s="20">
        <f t="shared" si="2"/>
        <v>1</v>
      </c>
      <c r="H58" s="18"/>
      <c r="I58" s="19">
        <f t="shared" si="3"/>
        <v>1</v>
      </c>
      <c r="J58" s="19"/>
      <c r="K58" s="20"/>
      <c r="L58" s="19"/>
      <c r="M58" t="str">
        <f t="shared" si="4"/>
        <v/>
      </c>
      <c r="N58" t="str">
        <f t="shared" si="5"/>
        <v/>
      </c>
    </row>
    <row r="59" spans="1:14" x14ac:dyDescent="0.25">
      <c r="A59" s="4" t="s">
        <v>43</v>
      </c>
      <c r="B59" s="1"/>
      <c r="C59" s="5" t="s">
        <v>5</v>
      </c>
      <c r="D59" s="13"/>
      <c r="E59" s="30"/>
      <c r="F59" s="43"/>
      <c r="G59" s="20">
        <f t="shared" si="2"/>
        <v>1</v>
      </c>
      <c r="H59" s="18"/>
      <c r="I59" s="19">
        <f t="shared" si="3"/>
        <v>1</v>
      </c>
      <c r="J59" s="19"/>
      <c r="K59" s="20"/>
      <c r="L59" s="19"/>
      <c r="M59" t="str">
        <f t="shared" si="4"/>
        <v/>
      </c>
      <c r="N59" t="str">
        <f t="shared" si="5"/>
        <v/>
      </c>
    </row>
    <row r="60" spans="1:14" x14ac:dyDescent="0.25">
      <c r="A60" s="2" t="s">
        <v>340</v>
      </c>
      <c r="B60" s="21"/>
      <c r="C60" s="3"/>
      <c r="D60" s="14"/>
      <c r="E60" s="31"/>
      <c r="F60" s="45" t="s">
        <v>575</v>
      </c>
      <c r="G60" s="20">
        <f t="shared" si="2"/>
        <v>1</v>
      </c>
      <c r="H60" s="18"/>
      <c r="I60" s="19">
        <f t="shared" si="3"/>
        <v>0</v>
      </c>
      <c r="J60" s="19"/>
      <c r="K60" s="20"/>
      <c r="L60" s="19"/>
      <c r="M60" t="str">
        <f t="shared" si="4"/>
        <v/>
      </c>
      <c r="N60" t="str">
        <f t="shared" si="5"/>
        <v/>
      </c>
    </row>
    <row r="61" spans="1:14" x14ac:dyDescent="0.25">
      <c r="A61" s="4" t="s">
        <v>44</v>
      </c>
      <c r="B61" s="1"/>
      <c r="C61" s="5" t="s">
        <v>5</v>
      </c>
      <c r="D61" s="13"/>
      <c r="E61" s="30"/>
      <c r="F61" s="43"/>
      <c r="G61" s="20">
        <f t="shared" si="2"/>
        <v>1</v>
      </c>
      <c r="H61" s="18"/>
      <c r="I61" s="19">
        <f t="shared" si="3"/>
        <v>1</v>
      </c>
      <c r="J61" s="19"/>
      <c r="K61" s="20"/>
      <c r="L61" s="19"/>
      <c r="M61" t="str">
        <f t="shared" si="4"/>
        <v/>
      </c>
      <c r="N61" t="str">
        <f t="shared" si="5"/>
        <v/>
      </c>
    </row>
    <row r="62" spans="1:14" x14ac:dyDescent="0.25">
      <c r="A62" s="4" t="s">
        <v>398</v>
      </c>
      <c r="B62" s="1"/>
      <c r="C62" s="5" t="s">
        <v>5</v>
      </c>
      <c r="D62" s="13" t="s">
        <v>422</v>
      </c>
      <c r="E62" s="30"/>
      <c r="F62" s="43"/>
      <c r="G62" s="20">
        <f t="shared" si="2"/>
        <v>1</v>
      </c>
      <c r="H62" s="18"/>
      <c r="I62" s="19">
        <f t="shared" si="3"/>
        <v>1</v>
      </c>
      <c r="J62" s="19"/>
      <c r="K62" s="20"/>
      <c r="L62" s="19"/>
      <c r="M62" t="str">
        <f t="shared" si="4"/>
        <v/>
      </c>
      <c r="N62" t="str">
        <f t="shared" si="5"/>
        <v/>
      </c>
    </row>
    <row r="63" spans="1:14" x14ac:dyDescent="0.25">
      <c r="A63" s="2" t="s">
        <v>783</v>
      </c>
      <c r="B63" s="21"/>
      <c r="C63" s="3"/>
      <c r="D63" s="14"/>
      <c r="E63" s="31"/>
      <c r="F63" s="45" t="s">
        <v>782</v>
      </c>
      <c r="G63" s="20">
        <f t="shared" si="2"/>
        <v>1</v>
      </c>
      <c r="H63" s="18"/>
      <c r="I63" s="19">
        <f t="shared" si="3"/>
        <v>0</v>
      </c>
      <c r="J63" s="19"/>
      <c r="K63" s="20"/>
      <c r="L63" s="19"/>
      <c r="M63" t="str">
        <f t="shared" si="4"/>
        <v/>
      </c>
      <c r="N63" t="str">
        <f t="shared" si="5"/>
        <v/>
      </c>
    </row>
    <row r="64" spans="1:14" x14ac:dyDescent="0.25">
      <c r="A64" s="4" t="s">
        <v>45</v>
      </c>
      <c r="B64" s="1"/>
      <c r="C64" s="5" t="s">
        <v>5</v>
      </c>
      <c r="D64" s="13" t="s">
        <v>476</v>
      </c>
      <c r="E64" s="30">
        <v>37</v>
      </c>
      <c r="F64" s="43"/>
      <c r="G64" s="20">
        <f t="shared" si="2"/>
        <v>1</v>
      </c>
      <c r="H64" s="18"/>
      <c r="I64" s="19">
        <f t="shared" si="3"/>
        <v>1</v>
      </c>
      <c r="J64" s="19"/>
      <c r="K64" s="20"/>
      <c r="L64" s="19"/>
      <c r="M64" t="str">
        <f t="shared" si="4"/>
        <v/>
      </c>
      <c r="N64" t="str">
        <f t="shared" si="5"/>
        <v/>
      </c>
    </row>
    <row r="65" spans="1:14" x14ac:dyDescent="0.25">
      <c r="A65" s="2" t="s">
        <v>215</v>
      </c>
      <c r="B65" s="21"/>
      <c r="C65" s="3"/>
      <c r="D65" s="14" t="s">
        <v>785</v>
      </c>
      <c r="E65" s="31"/>
      <c r="F65" s="45" t="s">
        <v>784</v>
      </c>
      <c r="G65" s="20">
        <f t="shared" si="2"/>
        <v>1</v>
      </c>
      <c r="H65" s="18"/>
      <c r="I65" s="19">
        <f t="shared" si="3"/>
        <v>0</v>
      </c>
      <c r="J65" s="19"/>
      <c r="K65" s="20"/>
      <c r="L65" s="19"/>
      <c r="M65" t="str">
        <f t="shared" si="4"/>
        <v/>
      </c>
      <c r="N65" t="str">
        <f t="shared" si="5"/>
        <v/>
      </c>
    </row>
    <row r="66" spans="1:14" x14ac:dyDescent="0.25">
      <c r="A66" s="2" t="s">
        <v>578</v>
      </c>
      <c r="B66" s="21"/>
      <c r="C66" s="3"/>
      <c r="D66" s="14" t="s">
        <v>577</v>
      </c>
      <c r="E66" s="31"/>
      <c r="F66" s="45" t="s">
        <v>576</v>
      </c>
      <c r="G66" s="20">
        <f t="shared" si="2"/>
        <v>1</v>
      </c>
      <c r="H66" s="18"/>
      <c r="I66" s="19">
        <f t="shared" si="3"/>
        <v>0</v>
      </c>
      <c r="J66" s="19"/>
      <c r="K66" s="20"/>
      <c r="L66" s="19"/>
      <c r="M66" t="str">
        <f t="shared" si="4"/>
        <v/>
      </c>
      <c r="N66" t="str">
        <f t="shared" si="5"/>
        <v/>
      </c>
    </row>
    <row r="67" spans="1:14" x14ac:dyDescent="0.25">
      <c r="A67" s="2" t="s">
        <v>188</v>
      </c>
      <c r="B67" s="21"/>
      <c r="C67" s="3"/>
      <c r="D67" s="14"/>
      <c r="E67" s="31"/>
      <c r="F67" s="45" t="s">
        <v>579</v>
      </c>
      <c r="G67" s="20">
        <f t="shared" si="2"/>
        <v>1</v>
      </c>
      <c r="H67" s="18"/>
      <c r="I67" s="19">
        <f t="shared" si="3"/>
        <v>0</v>
      </c>
      <c r="J67" s="19"/>
      <c r="K67" s="20"/>
      <c r="L67" s="19"/>
      <c r="M67" t="str">
        <f t="shared" si="4"/>
        <v/>
      </c>
      <c r="N67" t="str">
        <f t="shared" si="5"/>
        <v/>
      </c>
    </row>
    <row r="68" spans="1:14" x14ac:dyDescent="0.25">
      <c r="A68" s="4" t="s">
        <v>239</v>
      </c>
      <c r="B68" s="1"/>
      <c r="C68" s="5" t="s">
        <v>5</v>
      </c>
      <c r="D68" s="13"/>
      <c r="E68" s="30"/>
      <c r="F68" s="43"/>
      <c r="G68" s="20">
        <f t="shared" si="2"/>
        <v>1</v>
      </c>
      <c r="H68" s="18"/>
      <c r="I68" s="19">
        <f t="shared" si="3"/>
        <v>1</v>
      </c>
      <c r="J68" s="19"/>
      <c r="K68" s="20"/>
      <c r="L68" s="19"/>
      <c r="M68" t="str">
        <f t="shared" si="4"/>
        <v/>
      </c>
      <c r="N68" t="str">
        <f t="shared" si="5"/>
        <v/>
      </c>
    </row>
    <row r="69" spans="1:14" x14ac:dyDescent="0.25">
      <c r="A69" s="4" t="s">
        <v>46</v>
      </c>
      <c r="B69" s="1"/>
      <c r="C69" s="5" t="s">
        <v>5</v>
      </c>
      <c r="D69" s="13" t="s">
        <v>493</v>
      </c>
      <c r="E69" s="30">
        <v>17.690000000000001</v>
      </c>
      <c r="F69" s="43"/>
      <c r="G69" s="20">
        <f t="shared" si="2"/>
        <v>1</v>
      </c>
      <c r="H69" s="18"/>
      <c r="I69" s="19">
        <f t="shared" si="3"/>
        <v>1</v>
      </c>
      <c r="J69" s="19"/>
      <c r="K69" s="20"/>
      <c r="L69" s="19"/>
    </row>
    <row r="70" spans="1:14" x14ac:dyDescent="0.25">
      <c r="A70" s="4" t="s">
        <v>47</v>
      </c>
      <c r="B70" s="1"/>
      <c r="C70" s="5" t="s">
        <v>5</v>
      </c>
      <c r="D70" s="13"/>
      <c r="E70" s="30"/>
      <c r="F70" s="43"/>
      <c r="G70" s="20">
        <f t="shared" ref="G70:G134" si="6">COUNTA(A70)</f>
        <v>1</v>
      </c>
      <c r="H70" s="18"/>
      <c r="I70" s="19">
        <f t="shared" ref="I70:I134" si="7">COUNTA(C70)</f>
        <v>1</v>
      </c>
      <c r="J70" s="19"/>
      <c r="K70" s="20"/>
      <c r="L70" s="19"/>
      <c r="M70" t="str">
        <f t="shared" si="4"/>
        <v/>
      </c>
      <c r="N70" t="str">
        <f t="shared" si="5"/>
        <v/>
      </c>
    </row>
    <row r="71" spans="1:14" x14ac:dyDescent="0.25">
      <c r="A71" s="4" t="s">
        <v>347</v>
      </c>
      <c r="B71" s="1"/>
      <c r="C71" s="5" t="s">
        <v>5</v>
      </c>
      <c r="D71" s="13"/>
      <c r="E71" s="30"/>
      <c r="F71" s="43"/>
      <c r="G71" s="20">
        <f t="shared" si="6"/>
        <v>1</v>
      </c>
      <c r="H71" s="18"/>
      <c r="I71" s="19">
        <f t="shared" si="7"/>
        <v>1</v>
      </c>
      <c r="J71" s="19"/>
      <c r="K71" s="20"/>
      <c r="L71" s="19"/>
      <c r="M71" t="str">
        <f t="shared" si="4"/>
        <v/>
      </c>
      <c r="N71" t="str">
        <f t="shared" si="5"/>
        <v/>
      </c>
    </row>
    <row r="72" spans="1:14" x14ac:dyDescent="0.25">
      <c r="A72" s="2" t="s">
        <v>501</v>
      </c>
      <c r="B72" s="21"/>
      <c r="C72" s="3"/>
      <c r="D72" s="14"/>
      <c r="E72" s="31"/>
      <c r="F72" s="45" t="s">
        <v>580</v>
      </c>
      <c r="G72" s="20">
        <f t="shared" si="6"/>
        <v>1</v>
      </c>
      <c r="H72" s="18"/>
      <c r="I72" s="19">
        <f t="shared" si="7"/>
        <v>0</v>
      </c>
      <c r="J72" s="19"/>
      <c r="K72" s="20"/>
      <c r="L72" s="19"/>
      <c r="M72" t="str">
        <f t="shared" si="4"/>
        <v/>
      </c>
      <c r="N72" t="str">
        <f t="shared" si="5"/>
        <v/>
      </c>
    </row>
    <row r="73" spans="1:14" x14ac:dyDescent="0.25">
      <c r="A73" s="2" t="s">
        <v>581</v>
      </c>
      <c r="B73" s="21"/>
      <c r="C73" s="3"/>
      <c r="D73" s="14"/>
      <c r="E73" s="31"/>
      <c r="F73" s="45" t="s">
        <v>582</v>
      </c>
      <c r="G73" s="20">
        <f t="shared" si="6"/>
        <v>1</v>
      </c>
      <c r="H73" s="18"/>
      <c r="I73" s="19">
        <f t="shared" si="7"/>
        <v>0</v>
      </c>
      <c r="J73" s="19"/>
      <c r="K73" s="20"/>
      <c r="L73" s="19"/>
      <c r="M73" t="str">
        <f t="shared" si="4"/>
        <v/>
      </c>
      <c r="N73" t="str">
        <f t="shared" si="5"/>
        <v/>
      </c>
    </row>
    <row r="74" spans="1:14" x14ac:dyDescent="0.25">
      <c r="A74" s="2" t="s">
        <v>356</v>
      </c>
      <c r="B74" s="21"/>
      <c r="C74" s="3"/>
      <c r="D74" s="14"/>
      <c r="E74" s="31"/>
      <c r="F74" s="45" t="s">
        <v>583</v>
      </c>
      <c r="G74" s="20">
        <f t="shared" si="6"/>
        <v>1</v>
      </c>
      <c r="H74" s="18"/>
      <c r="I74" s="19">
        <f t="shared" si="7"/>
        <v>0</v>
      </c>
      <c r="J74" s="19"/>
      <c r="K74" s="20"/>
      <c r="L74" s="19"/>
      <c r="M74" t="str">
        <f t="shared" ref="M74:M141" si="8">IF(B74=1,E74,"")</f>
        <v/>
      </c>
      <c r="N74" t="str">
        <f t="shared" ref="N74:N141" si="9">IF(B74=2,E74,"")</f>
        <v/>
      </c>
    </row>
    <row r="75" spans="1:14" x14ac:dyDescent="0.25">
      <c r="A75" s="2" t="s">
        <v>269</v>
      </c>
      <c r="B75" s="21"/>
      <c r="C75" s="3"/>
      <c r="D75" s="14"/>
      <c r="E75" s="31"/>
      <c r="F75" s="45" t="s">
        <v>584</v>
      </c>
      <c r="G75" s="20">
        <f t="shared" si="6"/>
        <v>1</v>
      </c>
      <c r="H75" s="18"/>
      <c r="I75" s="19">
        <f t="shared" si="7"/>
        <v>0</v>
      </c>
      <c r="J75" s="19"/>
      <c r="K75" s="20"/>
      <c r="L75" s="19"/>
      <c r="M75" t="str">
        <f t="shared" si="8"/>
        <v/>
      </c>
      <c r="N75" t="str">
        <f t="shared" si="9"/>
        <v/>
      </c>
    </row>
    <row r="76" spans="1:14" x14ac:dyDescent="0.25">
      <c r="A76" s="4" t="s">
        <v>48</v>
      </c>
      <c r="B76" s="1"/>
      <c r="C76" s="5" t="s">
        <v>5</v>
      </c>
      <c r="D76" s="13"/>
      <c r="E76" s="30"/>
      <c r="F76" s="43"/>
      <c r="G76" s="20">
        <f t="shared" si="6"/>
        <v>1</v>
      </c>
      <c r="H76" s="18"/>
      <c r="I76" s="19">
        <f t="shared" si="7"/>
        <v>1</v>
      </c>
      <c r="J76" s="19"/>
      <c r="K76" s="20"/>
      <c r="L76" s="19"/>
      <c r="M76" t="str">
        <f t="shared" si="8"/>
        <v/>
      </c>
      <c r="N76" t="str">
        <f t="shared" si="9"/>
        <v/>
      </c>
    </row>
    <row r="77" spans="1:14" x14ac:dyDescent="0.25">
      <c r="A77" s="4" t="s">
        <v>198</v>
      </c>
      <c r="B77" s="1"/>
      <c r="C77" s="5" t="s">
        <v>5</v>
      </c>
      <c r="D77" s="13"/>
      <c r="E77" s="30"/>
      <c r="F77" s="43"/>
      <c r="G77" s="20">
        <f t="shared" si="6"/>
        <v>1</v>
      </c>
      <c r="H77" s="18"/>
      <c r="I77" s="19">
        <f t="shared" si="7"/>
        <v>1</v>
      </c>
      <c r="J77" s="19"/>
      <c r="K77" s="20"/>
      <c r="L77" s="19"/>
      <c r="M77" t="str">
        <f t="shared" si="8"/>
        <v/>
      </c>
      <c r="N77" t="str">
        <f t="shared" si="9"/>
        <v/>
      </c>
    </row>
    <row r="78" spans="1:14" x14ac:dyDescent="0.25">
      <c r="A78" s="4" t="s">
        <v>49</v>
      </c>
      <c r="B78" s="1"/>
      <c r="C78" s="5" t="s">
        <v>5</v>
      </c>
      <c r="D78" s="13" t="s">
        <v>455</v>
      </c>
      <c r="E78" s="30">
        <v>13</v>
      </c>
      <c r="F78" s="43"/>
      <c r="G78" s="20">
        <f t="shared" si="6"/>
        <v>1</v>
      </c>
      <c r="H78" s="18"/>
      <c r="I78" s="19">
        <f t="shared" si="7"/>
        <v>1</v>
      </c>
      <c r="J78" s="19"/>
      <c r="K78" s="20"/>
      <c r="L78" s="19"/>
      <c r="M78" t="str">
        <f t="shared" si="8"/>
        <v/>
      </c>
      <c r="N78" t="str">
        <f t="shared" si="9"/>
        <v/>
      </c>
    </row>
    <row r="79" spans="1:14" x14ac:dyDescent="0.25">
      <c r="A79" s="2" t="s">
        <v>289</v>
      </c>
      <c r="B79" s="21"/>
      <c r="C79" s="3"/>
      <c r="D79" s="14"/>
      <c r="E79" s="31"/>
      <c r="F79" s="45" t="s">
        <v>585</v>
      </c>
      <c r="G79" s="20">
        <f t="shared" si="6"/>
        <v>1</v>
      </c>
      <c r="H79" s="18"/>
      <c r="I79" s="19">
        <f t="shared" si="7"/>
        <v>0</v>
      </c>
      <c r="J79" s="19"/>
      <c r="K79" s="20"/>
      <c r="L79" s="19"/>
      <c r="M79" t="str">
        <f t="shared" si="8"/>
        <v/>
      </c>
      <c r="N79" t="str">
        <f t="shared" si="9"/>
        <v/>
      </c>
    </row>
    <row r="80" spans="1:14" x14ac:dyDescent="0.25">
      <c r="A80" s="4" t="s">
        <v>408</v>
      </c>
      <c r="B80" s="1"/>
      <c r="C80" s="5" t="s">
        <v>5</v>
      </c>
      <c r="D80" s="13" t="s">
        <v>457</v>
      </c>
      <c r="E80" s="30"/>
      <c r="F80" s="43"/>
      <c r="G80" s="20">
        <f t="shared" si="6"/>
        <v>1</v>
      </c>
      <c r="H80" s="18"/>
      <c r="I80" s="19">
        <f t="shared" si="7"/>
        <v>1</v>
      </c>
      <c r="J80" s="19"/>
      <c r="K80" s="20"/>
      <c r="L80" s="19"/>
      <c r="M80" t="str">
        <f t="shared" si="8"/>
        <v/>
      </c>
      <c r="N80" t="str">
        <f t="shared" si="9"/>
        <v/>
      </c>
    </row>
    <row r="81" spans="1:14" x14ac:dyDescent="0.25">
      <c r="A81" s="4" t="s">
        <v>290</v>
      </c>
      <c r="B81" s="1"/>
      <c r="C81" s="5" t="s">
        <v>5</v>
      </c>
      <c r="D81" s="13" t="s">
        <v>457</v>
      </c>
      <c r="E81" s="30"/>
      <c r="F81" s="43"/>
      <c r="G81" s="20">
        <f t="shared" si="6"/>
        <v>1</v>
      </c>
      <c r="H81" s="18"/>
      <c r="I81" s="19">
        <f t="shared" si="7"/>
        <v>1</v>
      </c>
      <c r="J81" s="19"/>
      <c r="K81" s="20"/>
      <c r="L81" s="19"/>
      <c r="M81" t="str">
        <f t="shared" si="8"/>
        <v/>
      </c>
      <c r="N81" t="str">
        <f t="shared" si="9"/>
        <v/>
      </c>
    </row>
    <row r="82" spans="1:14" x14ac:dyDescent="0.25">
      <c r="A82" s="2" t="s">
        <v>536</v>
      </c>
      <c r="B82" s="21"/>
      <c r="C82" s="3"/>
      <c r="D82" s="14"/>
      <c r="E82" s="31"/>
      <c r="F82" s="45" t="s">
        <v>586</v>
      </c>
      <c r="G82" s="20">
        <f t="shared" si="6"/>
        <v>1</v>
      </c>
      <c r="H82" s="18"/>
      <c r="I82" s="19">
        <f t="shared" si="7"/>
        <v>0</v>
      </c>
      <c r="J82" s="19"/>
      <c r="K82" s="20"/>
      <c r="L82" s="19"/>
      <c r="M82" t="str">
        <f t="shared" si="8"/>
        <v/>
      </c>
      <c r="N82" t="str">
        <f t="shared" si="9"/>
        <v/>
      </c>
    </row>
    <row r="83" spans="1:14" x14ac:dyDescent="0.25">
      <c r="A83" s="2" t="s">
        <v>50</v>
      </c>
      <c r="B83" s="21"/>
      <c r="C83" s="3"/>
      <c r="D83" s="14"/>
      <c r="E83" s="31"/>
      <c r="F83" s="45" t="s">
        <v>587</v>
      </c>
      <c r="G83" s="20">
        <f t="shared" si="6"/>
        <v>1</v>
      </c>
      <c r="H83" s="18"/>
      <c r="I83" s="19">
        <f t="shared" si="7"/>
        <v>0</v>
      </c>
      <c r="J83" s="19"/>
      <c r="K83" s="20"/>
      <c r="L83" s="19"/>
      <c r="M83" t="str">
        <f t="shared" si="8"/>
        <v/>
      </c>
      <c r="N83" t="str">
        <f t="shared" si="9"/>
        <v/>
      </c>
    </row>
    <row r="84" spans="1:14" x14ac:dyDescent="0.25">
      <c r="A84" s="4" t="s">
        <v>51</v>
      </c>
      <c r="B84" s="1"/>
      <c r="C84" s="5" t="s">
        <v>5</v>
      </c>
      <c r="D84" s="13"/>
      <c r="E84" s="30"/>
      <c r="F84" s="43"/>
      <c r="G84" s="20">
        <f t="shared" si="6"/>
        <v>1</v>
      </c>
      <c r="H84" s="18"/>
      <c r="I84" s="19">
        <f t="shared" si="7"/>
        <v>1</v>
      </c>
      <c r="J84" s="19"/>
      <c r="K84" s="20"/>
      <c r="L84" s="19"/>
      <c r="M84" t="str">
        <f t="shared" si="8"/>
        <v/>
      </c>
      <c r="N84" t="str">
        <f t="shared" si="9"/>
        <v/>
      </c>
    </row>
    <row r="85" spans="1:14" x14ac:dyDescent="0.25">
      <c r="A85" s="4" t="s">
        <v>439</v>
      </c>
      <c r="B85" s="1"/>
      <c r="C85" s="5" t="s">
        <v>5</v>
      </c>
      <c r="D85" s="13" t="s">
        <v>530</v>
      </c>
      <c r="E85" s="30">
        <v>10</v>
      </c>
      <c r="F85" s="43"/>
      <c r="G85" s="20">
        <f t="shared" si="6"/>
        <v>1</v>
      </c>
      <c r="H85" s="18"/>
      <c r="I85" s="19">
        <f t="shared" si="7"/>
        <v>1</v>
      </c>
      <c r="J85" s="19"/>
      <c r="K85" s="20"/>
      <c r="L85" s="19"/>
      <c r="M85" t="str">
        <f t="shared" si="8"/>
        <v/>
      </c>
      <c r="N85" t="str">
        <f t="shared" si="9"/>
        <v/>
      </c>
    </row>
    <row r="86" spans="1:14" x14ac:dyDescent="0.25">
      <c r="A86" s="4" t="s">
        <v>52</v>
      </c>
      <c r="B86" s="1"/>
      <c r="C86" s="5" t="s">
        <v>5</v>
      </c>
      <c r="D86" s="13"/>
      <c r="E86" s="30"/>
      <c r="F86" s="46"/>
      <c r="G86" s="20">
        <f t="shared" si="6"/>
        <v>1</v>
      </c>
      <c r="H86" s="18"/>
      <c r="I86" s="19">
        <f t="shared" si="7"/>
        <v>1</v>
      </c>
      <c r="J86" s="19"/>
      <c r="K86" s="20"/>
      <c r="L86" s="19"/>
      <c r="M86" t="str">
        <f t="shared" si="8"/>
        <v/>
      </c>
      <c r="N86" t="str">
        <f t="shared" si="9"/>
        <v/>
      </c>
    </row>
    <row r="87" spans="1:14" x14ac:dyDescent="0.25">
      <c r="A87" s="2" t="s">
        <v>589</v>
      </c>
      <c r="B87" s="21"/>
      <c r="C87" s="3"/>
      <c r="D87" s="14" t="s">
        <v>590</v>
      </c>
      <c r="E87" s="31"/>
      <c r="F87" s="45" t="s">
        <v>591</v>
      </c>
      <c r="G87" s="20">
        <f t="shared" si="6"/>
        <v>1</v>
      </c>
      <c r="H87" s="18"/>
      <c r="I87" s="19">
        <f t="shared" si="7"/>
        <v>0</v>
      </c>
      <c r="J87" s="19"/>
      <c r="K87" s="20"/>
      <c r="L87" s="19"/>
      <c r="M87" t="str">
        <f t="shared" si="8"/>
        <v/>
      </c>
      <c r="N87" t="str">
        <f t="shared" si="9"/>
        <v/>
      </c>
    </row>
    <row r="88" spans="1:14" x14ac:dyDescent="0.25">
      <c r="A88" s="2" t="s">
        <v>413</v>
      </c>
      <c r="B88" s="21"/>
      <c r="C88" s="3"/>
      <c r="D88" s="14"/>
      <c r="E88" s="31"/>
      <c r="F88" s="45" t="s">
        <v>588</v>
      </c>
      <c r="G88" s="20">
        <f t="shared" si="6"/>
        <v>1</v>
      </c>
      <c r="H88" s="18"/>
      <c r="I88" s="19">
        <f t="shared" si="7"/>
        <v>0</v>
      </c>
      <c r="J88" s="19"/>
      <c r="K88" s="20"/>
      <c r="L88" s="19"/>
      <c r="M88" t="str">
        <f t="shared" si="8"/>
        <v/>
      </c>
      <c r="N88" t="str">
        <f t="shared" si="9"/>
        <v/>
      </c>
    </row>
    <row r="89" spans="1:14" x14ac:dyDescent="0.25">
      <c r="A89" s="2" t="s">
        <v>468</v>
      </c>
      <c r="B89" s="21"/>
      <c r="C89" s="3"/>
      <c r="D89" s="14"/>
      <c r="E89" s="31"/>
      <c r="F89" s="45" t="s">
        <v>592</v>
      </c>
      <c r="G89" s="20">
        <f t="shared" si="6"/>
        <v>1</v>
      </c>
      <c r="H89" s="18"/>
      <c r="I89" s="19">
        <f t="shared" si="7"/>
        <v>0</v>
      </c>
      <c r="J89" s="19"/>
      <c r="K89" s="20"/>
      <c r="L89" s="19"/>
      <c r="M89" t="str">
        <f t="shared" si="8"/>
        <v/>
      </c>
      <c r="N89" t="str">
        <f t="shared" si="9"/>
        <v/>
      </c>
    </row>
    <row r="90" spans="1:14" x14ac:dyDescent="0.25">
      <c r="A90" s="2" t="s">
        <v>53</v>
      </c>
      <c r="B90" s="21"/>
      <c r="C90" s="3"/>
      <c r="D90" s="14"/>
      <c r="E90" s="31"/>
      <c r="F90" s="45" t="s">
        <v>593</v>
      </c>
      <c r="G90" s="20">
        <f t="shared" si="6"/>
        <v>1</v>
      </c>
      <c r="H90" s="18"/>
      <c r="I90" s="19">
        <f t="shared" si="7"/>
        <v>0</v>
      </c>
      <c r="J90" s="19"/>
      <c r="K90" s="20"/>
      <c r="L90" s="19"/>
      <c r="M90" t="str">
        <f t="shared" si="8"/>
        <v/>
      </c>
      <c r="N90" t="str">
        <f t="shared" si="9"/>
        <v/>
      </c>
    </row>
    <row r="91" spans="1:14" x14ac:dyDescent="0.25">
      <c r="A91" s="2" t="s">
        <v>414</v>
      </c>
      <c r="B91" s="21"/>
      <c r="C91" s="3"/>
      <c r="D91" s="14"/>
      <c r="E91" s="31"/>
      <c r="F91" s="45" t="s">
        <v>594</v>
      </c>
      <c r="G91" s="20">
        <f t="shared" si="6"/>
        <v>1</v>
      </c>
      <c r="H91" s="18"/>
      <c r="I91" s="19">
        <f t="shared" si="7"/>
        <v>0</v>
      </c>
      <c r="J91" s="19"/>
      <c r="K91" s="20"/>
      <c r="L91" s="19"/>
      <c r="M91" t="str">
        <f t="shared" si="8"/>
        <v/>
      </c>
      <c r="N91" t="str">
        <f t="shared" si="9"/>
        <v/>
      </c>
    </row>
    <row r="92" spans="1:14" x14ac:dyDescent="0.25">
      <c r="A92" s="2" t="s">
        <v>54</v>
      </c>
      <c r="B92" s="21"/>
      <c r="C92" s="3"/>
      <c r="D92" s="14" t="s">
        <v>595</v>
      </c>
      <c r="E92" s="31"/>
      <c r="F92" s="45" t="s">
        <v>786</v>
      </c>
      <c r="G92" s="20">
        <f t="shared" si="6"/>
        <v>1</v>
      </c>
      <c r="H92" s="18"/>
      <c r="I92" s="19">
        <f t="shared" si="7"/>
        <v>0</v>
      </c>
      <c r="J92" s="19"/>
      <c r="K92" s="20"/>
      <c r="L92" s="19"/>
      <c r="M92" t="str">
        <f t="shared" si="8"/>
        <v/>
      </c>
      <c r="N92" t="str">
        <f t="shared" si="9"/>
        <v/>
      </c>
    </row>
    <row r="93" spans="1:14" x14ac:dyDescent="0.25">
      <c r="A93" s="4" t="s">
        <v>434</v>
      </c>
      <c r="B93" s="1"/>
      <c r="C93" s="5" t="s">
        <v>5</v>
      </c>
      <c r="D93" s="13" t="s">
        <v>430</v>
      </c>
      <c r="E93" s="30">
        <v>35</v>
      </c>
      <c r="F93" s="46"/>
      <c r="G93" s="20">
        <f t="shared" si="6"/>
        <v>1</v>
      </c>
      <c r="H93" s="18"/>
      <c r="I93" s="19">
        <f t="shared" si="7"/>
        <v>1</v>
      </c>
      <c r="J93" s="19"/>
      <c r="K93" s="20"/>
      <c r="L93" s="19"/>
      <c r="M93" t="str">
        <f t="shared" si="8"/>
        <v/>
      </c>
      <c r="N93" t="str">
        <f t="shared" si="9"/>
        <v/>
      </c>
    </row>
    <row r="94" spans="1:14" x14ac:dyDescent="0.25">
      <c r="A94" s="4" t="s">
        <v>492</v>
      </c>
      <c r="B94" s="1"/>
      <c r="C94" s="5" t="s">
        <v>5</v>
      </c>
      <c r="D94" s="13" t="s">
        <v>493</v>
      </c>
      <c r="E94" s="30">
        <v>20.74</v>
      </c>
      <c r="F94" s="43"/>
      <c r="G94" s="20">
        <f t="shared" si="6"/>
        <v>1</v>
      </c>
      <c r="H94" s="18"/>
      <c r="I94" s="19">
        <f t="shared" si="7"/>
        <v>1</v>
      </c>
      <c r="J94" s="19"/>
      <c r="K94" s="20"/>
      <c r="L94" s="19"/>
      <c r="M94" t="str">
        <f t="shared" si="8"/>
        <v/>
      </c>
      <c r="N94" t="str">
        <f t="shared" si="9"/>
        <v/>
      </c>
    </row>
    <row r="95" spans="1:14" x14ac:dyDescent="0.25">
      <c r="A95" s="4" t="s">
        <v>288</v>
      </c>
      <c r="B95" s="1"/>
      <c r="C95" s="5" t="s">
        <v>5</v>
      </c>
      <c r="D95" s="13"/>
      <c r="E95" s="30"/>
      <c r="F95" s="43"/>
      <c r="G95" s="20">
        <f t="shared" si="6"/>
        <v>1</v>
      </c>
      <c r="H95" s="18"/>
      <c r="I95" s="19">
        <f t="shared" si="7"/>
        <v>1</v>
      </c>
      <c r="J95" s="19"/>
      <c r="K95" s="20"/>
      <c r="L95" s="19"/>
      <c r="M95" t="str">
        <f t="shared" si="8"/>
        <v/>
      </c>
      <c r="N95" t="str">
        <f t="shared" si="9"/>
        <v/>
      </c>
    </row>
    <row r="96" spans="1:14" x14ac:dyDescent="0.25">
      <c r="A96" s="4" t="s">
        <v>305</v>
      </c>
      <c r="B96" s="1"/>
      <c r="C96" s="5" t="s">
        <v>5</v>
      </c>
      <c r="D96" s="13"/>
      <c r="E96" s="30"/>
      <c r="F96" s="43"/>
      <c r="G96" s="20">
        <f t="shared" si="6"/>
        <v>1</v>
      </c>
      <c r="H96" s="18"/>
      <c r="I96" s="19">
        <f t="shared" si="7"/>
        <v>1</v>
      </c>
      <c r="J96" s="19"/>
      <c r="K96" s="20"/>
      <c r="L96" s="19"/>
      <c r="M96" t="str">
        <f t="shared" si="8"/>
        <v/>
      </c>
      <c r="N96" t="str">
        <f t="shared" si="9"/>
        <v/>
      </c>
    </row>
    <row r="97" spans="1:14" x14ac:dyDescent="0.25">
      <c r="A97" s="4" t="s">
        <v>306</v>
      </c>
      <c r="B97" s="1"/>
      <c r="C97" s="5" t="s">
        <v>5</v>
      </c>
      <c r="D97" s="13"/>
      <c r="E97" s="30"/>
      <c r="F97" s="43"/>
      <c r="G97" s="20">
        <f t="shared" si="6"/>
        <v>1</v>
      </c>
      <c r="H97" s="18"/>
      <c r="I97" s="19">
        <f t="shared" si="7"/>
        <v>1</v>
      </c>
      <c r="J97" s="19"/>
      <c r="K97" s="20"/>
      <c r="L97" s="19"/>
      <c r="M97" t="str">
        <f t="shared" si="8"/>
        <v/>
      </c>
      <c r="N97" t="str">
        <f t="shared" si="9"/>
        <v/>
      </c>
    </row>
    <row r="98" spans="1:14" x14ac:dyDescent="0.25">
      <c r="A98" s="4" t="s">
        <v>257</v>
      </c>
      <c r="B98" s="1"/>
      <c r="C98" s="5" t="s">
        <v>5</v>
      </c>
      <c r="D98" s="13"/>
      <c r="E98" s="30"/>
      <c r="F98" s="43"/>
      <c r="G98" s="20">
        <f t="shared" si="6"/>
        <v>1</v>
      </c>
      <c r="H98" s="18"/>
      <c r="I98" s="19">
        <f t="shared" si="7"/>
        <v>1</v>
      </c>
      <c r="J98" s="19"/>
      <c r="K98" s="20"/>
      <c r="L98" s="19"/>
      <c r="M98" t="str">
        <f t="shared" si="8"/>
        <v/>
      </c>
      <c r="N98" t="str">
        <f t="shared" si="9"/>
        <v/>
      </c>
    </row>
    <row r="99" spans="1:14" x14ac:dyDescent="0.25">
      <c r="A99" s="4" t="s">
        <v>199</v>
      </c>
      <c r="B99" s="1"/>
      <c r="C99" s="5" t="s">
        <v>5</v>
      </c>
      <c r="D99" s="13" t="s">
        <v>430</v>
      </c>
      <c r="E99" s="30">
        <v>18</v>
      </c>
      <c r="F99" s="43"/>
      <c r="G99" s="20">
        <f t="shared" si="6"/>
        <v>1</v>
      </c>
      <c r="H99" s="18"/>
      <c r="I99" s="19">
        <f t="shared" si="7"/>
        <v>1</v>
      </c>
      <c r="J99" s="19"/>
      <c r="K99" s="20"/>
      <c r="L99" s="19"/>
      <c r="M99" t="str">
        <f t="shared" si="8"/>
        <v/>
      </c>
      <c r="N99" t="str">
        <f t="shared" si="9"/>
        <v/>
      </c>
    </row>
    <row r="100" spans="1:14" x14ac:dyDescent="0.25">
      <c r="A100" s="4" t="s">
        <v>283</v>
      </c>
      <c r="B100" s="1"/>
      <c r="C100" s="5" t="s">
        <v>5</v>
      </c>
      <c r="D100" s="13"/>
      <c r="E100" s="30"/>
      <c r="F100" s="43"/>
      <c r="G100" s="20">
        <f t="shared" si="6"/>
        <v>1</v>
      </c>
      <c r="H100" s="18"/>
      <c r="I100" s="19">
        <f t="shared" si="7"/>
        <v>1</v>
      </c>
      <c r="J100" s="19"/>
      <c r="K100" s="20"/>
      <c r="L100" s="19"/>
      <c r="M100" t="str">
        <f t="shared" si="8"/>
        <v/>
      </c>
      <c r="N100" t="str">
        <f t="shared" si="9"/>
        <v/>
      </c>
    </row>
    <row r="101" spans="1:14" x14ac:dyDescent="0.25">
      <c r="A101" s="58" t="s">
        <v>55</v>
      </c>
      <c r="B101" s="59"/>
      <c r="C101" s="60"/>
      <c r="D101" s="61" t="s">
        <v>430</v>
      </c>
      <c r="E101" s="62">
        <v>15</v>
      </c>
      <c r="F101" s="69" t="s">
        <v>550</v>
      </c>
      <c r="G101" s="20">
        <f t="shared" si="6"/>
        <v>1</v>
      </c>
      <c r="H101" s="18"/>
      <c r="I101" s="19">
        <f t="shared" si="7"/>
        <v>0</v>
      </c>
      <c r="J101" s="19"/>
      <c r="K101" s="20"/>
      <c r="L101" s="19"/>
      <c r="M101" t="str">
        <f t="shared" si="8"/>
        <v/>
      </c>
      <c r="N101" t="str">
        <f t="shared" si="9"/>
        <v/>
      </c>
    </row>
    <row r="102" spans="1:14" x14ac:dyDescent="0.25">
      <c r="A102" s="34" t="s">
        <v>540</v>
      </c>
      <c r="B102" s="25"/>
      <c r="C102" s="35"/>
      <c r="D102" s="36"/>
      <c r="E102" s="37"/>
      <c r="F102" s="70" t="s">
        <v>596</v>
      </c>
      <c r="G102" s="20">
        <f t="shared" si="6"/>
        <v>1</v>
      </c>
      <c r="H102" s="18"/>
      <c r="I102" s="19">
        <f t="shared" si="7"/>
        <v>0</v>
      </c>
      <c r="J102" s="19"/>
      <c r="K102" s="20"/>
      <c r="L102" s="19"/>
      <c r="M102" t="str">
        <f t="shared" si="8"/>
        <v/>
      </c>
      <c r="N102" t="str">
        <f t="shared" si="9"/>
        <v/>
      </c>
    </row>
    <row r="103" spans="1:14" x14ac:dyDescent="0.25">
      <c r="A103" s="2" t="s">
        <v>56</v>
      </c>
      <c r="B103" s="21"/>
      <c r="C103" s="3"/>
      <c r="D103" s="14"/>
      <c r="E103" s="31"/>
      <c r="F103" s="45" t="s">
        <v>597</v>
      </c>
      <c r="G103" s="20">
        <f t="shared" si="6"/>
        <v>1</v>
      </c>
      <c r="H103" s="18"/>
      <c r="I103" s="19">
        <f t="shared" si="7"/>
        <v>0</v>
      </c>
      <c r="J103" s="19"/>
      <c r="K103" s="20"/>
      <c r="L103" s="19"/>
      <c r="M103" t="str">
        <f t="shared" si="8"/>
        <v/>
      </c>
      <c r="N103" t="str">
        <f t="shared" si="9"/>
        <v/>
      </c>
    </row>
    <row r="104" spans="1:14" x14ac:dyDescent="0.25">
      <c r="A104" s="4" t="s">
        <v>8</v>
      </c>
      <c r="B104" s="1"/>
      <c r="C104" s="5" t="s">
        <v>5</v>
      </c>
      <c r="D104" s="13"/>
      <c r="E104" s="30"/>
      <c r="F104" s="43"/>
      <c r="G104" s="20">
        <f t="shared" si="6"/>
        <v>1</v>
      </c>
      <c r="H104" s="18"/>
      <c r="I104" s="19">
        <f t="shared" si="7"/>
        <v>1</v>
      </c>
      <c r="J104" s="19"/>
      <c r="K104" s="20"/>
      <c r="L104" s="19"/>
      <c r="M104" t="str">
        <f t="shared" si="8"/>
        <v/>
      </c>
      <c r="N104" t="str">
        <f t="shared" si="9"/>
        <v/>
      </c>
    </row>
    <row r="105" spans="1:14" x14ac:dyDescent="0.25">
      <c r="A105" s="2" t="s">
        <v>57</v>
      </c>
      <c r="B105" s="21"/>
      <c r="C105" s="3"/>
      <c r="D105" s="14"/>
      <c r="E105" s="31"/>
      <c r="F105" s="45" t="s">
        <v>598</v>
      </c>
      <c r="G105" s="20">
        <f t="shared" si="6"/>
        <v>1</v>
      </c>
      <c r="H105" s="18"/>
      <c r="I105" s="19">
        <f t="shared" si="7"/>
        <v>0</v>
      </c>
      <c r="J105" s="19"/>
      <c r="K105" s="20"/>
      <c r="L105" s="19"/>
      <c r="M105" t="str">
        <f t="shared" si="8"/>
        <v/>
      </c>
      <c r="N105" t="str">
        <f t="shared" si="9"/>
        <v/>
      </c>
    </row>
    <row r="106" spans="1:14" x14ac:dyDescent="0.25">
      <c r="A106" s="2" t="s">
        <v>58</v>
      </c>
      <c r="B106" s="21"/>
      <c r="C106" s="3"/>
      <c r="D106" s="14"/>
      <c r="E106" s="31"/>
      <c r="F106" s="45" t="s">
        <v>599</v>
      </c>
      <c r="G106" s="20">
        <f t="shared" si="6"/>
        <v>1</v>
      </c>
      <c r="H106" s="18"/>
      <c r="I106" s="19">
        <f t="shared" si="7"/>
        <v>0</v>
      </c>
      <c r="J106" s="19"/>
      <c r="K106" s="20"/>
      <c r="L106" s="19"/>
      <c r="M106" t="str">
        <f t="shared" si="8"/>
        <v/>
      </c>
      <c r="N106" t="str">
        <f t="shared" si="9"/>
        <v/>
      </c>
    </row>
    <row r="107" spans="1:14" x14ac:dyDescent="0.25">
      <c r="A107" s="2" t="s">
        <v>416</v>
      </c>
      <c r="B107" s="21"/>
      <c r="C107" s="3"/>
      <c r="D107" s="14"/>
      <c r="E107" s="31"/>
      <c r="F107" s="45" t="s">
        <v>600</v>
      </c>
      <c r="G107" s="20">
        <f t="shared" si="6"/>
        <v>1</v>
      </c>
      <c r="H107" s="18"/>
      <c r="I107" s="19">
        <f t="shared" si="7"/>
        <v>0</v>
      </c>
      <c r="J107" s="19"/>
      <c r="K107" s="20"/>
      <c r="L107" s="19"/>
    </row>
    <row r="108" spans="1:14" x14ac:dyDescent="0.25">
      <c r="A108" s="4" t="s">
        <v>342</v>
      </c>
      <c r="B108" s="1"/>
      <c r="C108" s="5" t="s">
        <v>5</v>
      </c>
      <c r="D108" s="13" t="s">
        <v>523</v>
      </c>
      <c r="E108" s="30">
        <v>20</v>
      </c>
      <c r="F108" s="43"/>
      <c r="G108" s="20">
        <f t="shared" si="6"/>
        <v>1</v>
      </c>
      <c r="H108" s="18"/>
      <c r="I108" s="19">
        <f t="shared" si="7"/>
        <v>1</v>
      </c>
      <c r="J108" s="19"/>
      <c r="K108" s="20"/>
      <c r="L108" s="19"/>
      <c r="M108" t="str">
        <f t="shared" si="8"/>
        <v/>
      </c>
      <c r="N108" t="str">
        <f t="shared" si="9"/>
        <v/>
      </c>
    </row>
    <row r="109" spans="1:14" x14ac:dyDescent="0.25">
      <c r="A109" s="2" t="s">
        <v>59</v>
      </c>
      <c r="B109" s="21"/>
      <c r="C109" s="3"/>
      <c r="D109" s="14"/>
      <c r="E109" s="31"/>
      <c r="F109" s="45" t="s">
        <v>601</v>
      </c>
      <c r="G109" s="20">
        <f t="shared" si="6"/>
        <v>1</v>
      </c>
      <c r="H109" s="18"/>
      <c r="I109" s="19">
        <f t="shared" si="7"/>
        <v>0</v>
      </c>
      <c r="J109" s="19"/>
      <c r="K109" s="20"/>
      <c r="L109" s="19"/>
      <c r="M109" t="str">
        <f t="shared" si="8"/>
        <v/>
      </c>
      <c r="N109" t="str">
        <f t="shared" si="9"/>
        <v/>
      </c>
    </row>
    <row r="110" spans="1:14" x14ac:dyDescent="0.25">
      <c r="A110" s="4" t="s">
        <v>6</v>
      </c>
      <c r="B110" s="1"/>
      <c r="C110" s="5" t="s">
        <v>5</v>
      </c>
      <c r="D110" s="13"/>
      <c r="E110" s="30"/>
      <c r="F110" s="43"/>
      <c r="G110" s="20">
        <f t="shared" si="6"/>
        <v>1</v>
      </c>
      <c r="H110" s="18"/>
      <c r="I110" s="19">
        <f t="shared" si="7"/>
        <v>1</v>
      </c>
      <c r="J110" s="19"/>
      <c r="K110" s="20"/>
      <c r="L110" s="19"/>
      <c r="M110" t="str">
        <f t="shared" si="8"/>
        <v/>
      </c>
      <c r="N110" t="str">
        <f t="shared" si="9"/>
        <v/>
      </c>
    </row>
    <row r="111" spans="1:14" x14ac:dyDescent="0.25">
      <c r="A111" s="2" t="s">
        <v>358</v>
      </c>
      <c r="B111" s="21"/>
      <c r="C111" s="3"/>
      <c r="D111" s="14"/>
      <c r="E111" s="31"/>
      <c r="F111" s="45" t="s">
        <v>602</v>
      </c>
      <c r="G111" s="20">
        <f t="shared" si="6"/>
        <v>1</v>
      </c>
      <c r="H111" s="18"/>
      <c r="I111" s="19">
        <f t="shared" si="7"/>
        <v>0</v>
      </c>
      <c r="J111" s="19"/>
      <c r="K111" s="20"/>
      <c r="L111" s="19"/>
      <c r="M111" t="str">
        <f t="shared" si="8"/>
        <v/>
      </c>
      <c r="N111" t="str">
        <f t="shared" si="9"/>
        <v/>
      </c>
    </row>
    <row r="112" spans="1:14" x14ac:dyDescent="0.25">
      <c r="A112" s="2" t="s">
        <v>328</v>
      </c>
      <c r="B112" s="21"/>
      <c r="C112" s="3"/>
      <c r="D112" s="14"/>
      <c r="E112" s="31"/>
      <c r="F112" s="45" t="s">
        <v>603</v>
      </c>
      <c r="G112" s="20">
        <f t="shared" si="6"/>
        <v>1</v>
      </c>
      <c r="H112" s="18"/>
      <c r="I112" s="19">
        <f t="shared" si="7"/>
        <v>0</v>
      </c>
      <c r="J112" s="19"/>
      <c r="K112" s="20"/>
      <c r="L112" s="19"/>
      <c r="M112" t="str">
        <f t="shared" si="8"/>
        <v/>
      </c>
      <c r="N112" t="str">
        <f t="shared" si="9"/>
        <v/>
      </c>
    </row>
    <row r="113" spans="1:14" x14ac:dyDescent="0.25">
      <c r="A113" s="4" t="s">
        <v>375</v>
      </c>
      <c r="B113" s="1"/>
      <c r="C113" s="5" t="s">
        <v>5</v>
      </c>
      <c r="D113" s="13"/>
      <c r="E113" s="30"/>
      <c r="F113" s="43"/>
      <c r="G113" s="20">
        <f t="shared" si="6"/>
        <v>1</v>
      </c>
      <c r="H113" s="18"/>
      <c r="I113" s="19">
        <f t="shared" si="7"/>
        <v>1</v>
      </c>
      <c r="J113" s="19"/>
      <c r="K113" s="20"/>
      <c r="L113" s="19"/>
      <c r="M113" t="str">
        <f t="shared" si="8"/>
        <v/>
      </c>
      <c r="N113" t="str">
        <f t="shared" si="9"/>
        <v/>
      </c>
    </row>
    <row r="114" spans="1:14" x14ac:dyDescent="0.25">
      <c r="A114" s="4" t="s">
        <v>345</v>
      </c>
      <c r="B114" s="1"/>
      <c r="C114" s="5" t="s">
        <v>5</v>
      </c>
      <c r="D114" s="13" t="s">
        <v>523</v>
      </c>
      <c r="E114" s="30">
        <v>15</v>
      </c>
      <c r="F114" s="43">
        <v>23</v>
      </c>
      <c r="G114" s="20">
        <f t="shared" si="6"/>
        <v>1</v>
      </c>
      <c r="H114" s="18"/>
      <c r="I114" s="19">
        <f t="shared" si="7"/>
        <v>1</v>
      </c>
      <c r="J114" s="19"/>
      <c r="K114" s="20"/>
      <c r="L114" s="19"/>
      <c r="M114" t="str">
        <f t="shared" si="8"/>
        <v/>
      </c>
      <c r="N114" t="str">
        <f t="shared" si="9"/>
        <v/>
      </c>
    </row>
    <row r="115" spans="1:14" x14ac:dyDescent="0.25">
      <c r="A115" s="4" t="s">
        <v>272</v>
      </c>
      <c r="B115" s="1"/>
      <c r="C115" s="5" t="s">
        <v>5</v>
      </c>
      <c r="D115" s="13" t="s">
        <v>425</v>
      </c>
      <c r="E115" s="30"/>
      <c r="F115" s="43"/>
      <c r="G115" s="20">
        <f t="shared" si="6"/>
        <v>1</v>
      </c>
      <c r="H115" s="18"/>
      <c r="I115" s="19">
        <f t="shared" si="7"/>
        <v>1</v>
      </c>
      <c r="J115" s="19"/>
      <c r="K115" s="20"/>
      <c r="L115" s="19"/>
      <c r="M115" t="str">
        <f t="shared" si="8"/>
        <v/>
      </c>
      <c r="N115" t="str">
        <f t="shared" si="9"/>
        <v/>
      </c>
    </row>
    <row r="116" spans="1:14" x14ac:dyDescent="0.25">
      <c r="A116" s="2" t="s">
        <v>216</v>
      </c>
      <c r="B116" s="21"/>
      <c r="C116" s="3"/>
      <c r="D116" s="14"/>
      <c r="E116" s="31"/>
      <c r="F116" s="45" t="s">
        <v>605</v>
      </c>
      <c r="G116" s="20">
        <f t="shared" si="6"/>
        <v>1</v>
      </c>
      <c r="H116" s="18"/>
      <c r="I116" s="19">
        <f t="shared" si="7"/>
        <v>0</v>
      </c>
      <c r="J116" s="19"/>
      <c r="K116" s="20"/>
      <c r="L116" s="19"/>
      <c r="M116" t="str">
        <f t="shared" si="8"/>
        <v/>
      </c>
      <c r="N116" t="str">
        <f t="shared" si="9"/>
        <v/>
      </c>
    </row>
    <row r="117" spans="1:14" x14ac:dyDescent="0.25">
      <c r="A117" s="4" t="s">
        <v>449</v>
      </c>
      <c r="B117" s="1"/>
      <c r="C117" s="5" t="s">
        <v>5</v>
      </c>
      <c r="D117" s="13" t="s">
        <v>494</v>
      </c>
      <c r="E117" s="30">
        <v>7.63</v>
      </c>
      <c r="F117" s="43"/>
      <c r="G117" s="20">
        <f t="shared" si="6"/>
        <v>1</v>
      </c>
      <c r="H117" s="18"/>
      <c r="I117" s="19">
        <f t="shared" si="7"/>
        <v>1</v>
      </c>
      <c r="J117" s="19"/>
      <c r="K117" s="20"/>
      <c r="L117" s="19"/>
      <c r="M117" t="str">
        <f t="shared" si="8"/>
        <v/>
      </c>
      <c r="N117" t="str">
        <f t="shared" si="9"/>
        <v/>
      </c>
    </row>
    <row r="118" spans="1:14" x14ac:dyDescent="0.25">
      <c r="A118" s="4" t="s">
        <v>450</v>
      </c>
      <c r="B118" s="1"/>
      <c r="C118" s="5" t="s">
        <v>5</v>
      </c>
      <c r="D118" s="13" t="s">
        <v>430</v>
      </c>
      <c r="E118" s="30">
        <v>25</v>
      </c>
      <c r="F118" s="43"/>
      <c r="G118" s="20">
        <f t="shared" si="6"/>
        <v>1</v>
      </c>
      <c r="H118" s="18"/>
      <c r="I118" s="19">
        <f t="shared" si="7"/>
        <v>1</v>
      </c>
      <c r="J118" s="19"/>
      <c r="K118" s="20"/>
      <c r="L118" s="19"/>
      <c r="M118" t="str">
        <f t="shared" si="8"/>
        <v/>
      </c>
      <c r="N118" t="str">
        <f t="shared" si="9"/>
        <v/>
      </c>
    </row>
    <row r="119" spans="1:14" x14ac:dyDescent="0.25">
      <c r="A119" s="4" t="s">
        <v>60</v>
      </c>
      <c r="B119" s="1"/>
      <c r="C119" s="5" t="s">
        <v>5</v>
      </c>
      <c r="D119" s="13" t="s">
        <v>425</v>
      </c>
      <c r="E119" s="30"/>
      <c r="F119" s="46"/>
      <c r="G119" s="20">
        <f t="shared" si="6"/>
        <v>1</v>
      </c>
      <c r="H119" s="18"/>
      <c r="I119" s="19">
        <f t="shared" si="7"/>
        <v>1</v>
      </c>
      <c r="J119" s="19"/>
      <c r="K119" s="20"/>
      <c r="L119" s="19"/>
      <c r="M119" t="str">
        <f t="shared" si="8"/>
        <v/>
      </c>
      <c r="N119" t="str">
        <f t="shared" si="9"/>
        <v/>
      </c>
    </row>
    <row r="120" spans="1:14" x14ac:dyDescent="0.25">
      <c r="A120" s="2" t="s">
        <v>318</v>
      </c>
      <c r="B120" s="21"/>
      <c r="C120" s="3"/>
      <c r="D120" s="14"/>
      <c r="E120" s="31"/>
      <c r="F120" s="45" t="s">
        <v>604</v>
      </c>
      <c r="G120" s="20">
        <f t="shared" si="6"/>
        <v>1</v>
      </c>
      <c r="H120" s="18"/>
      <c r="I120" s="19">
        <f t="shared" si="7"/>
        <v>0</v>
      </c>
      <c r="J120" s="19"/>
      <c r="K120" s="20"/>
      <c r="L120" s="19"/>
      <c r="M120" t="str">
        <f t="shared" si="8"/>
        <v/>
      </c>
      <c r="N120" t="str">
        <f t="shared" si="9"/>
        <v/>
      </c>
    </row>
    <row r="121" spans="1:14" x14ac:dyDescent="0.25">
      <c r="A121" s="4" t="s">
        <v>61</v>
      </c>
      <c r="B121" s="1"/>
      <c r="C121" s="5" t="s">
        <v>5</v>
      </c>
      <c r="D121" s="13"/>
      <c r="E121" s="30"/>
      <c r="F121" s="43"/>
      <c r="G121" s="20">
        <f t="shared" si="6"/>
        <v>1</v>
      </c>
      <c r="H121" s="18"/>
      <c r="I121" s="19">
        <f t="shared" si="7"/>
        <v>1</v>
      </c>
      <c r="J121" s="19"/>
      <c r="K121" s="20"/>
      <c r="L121" s="19"/>
      <c r="M121" t="str">
        <f t="shared" si="8"/>
        <v/>
      </c>
      <c r="N121" t="str">
        <f t="shared" si="9"/>
        <v/>
      </c>
    </row>
    <row r="122" spans="1:14" x14ac:dyDescent="0.25">
      <c r="A122" s="2" t="s">
        <v>490</v>
      </c>
      <c r="B122" s="21"/>
      <c r="C122" s="3"/>
      <c r="D122" s="14"/>
      <c r="E122" s="31"/>
      <c r="F122" s="45" t="s">
        <v>606</v>
      </c>
      <c r="G122" s="20">
        <f t="shared" si="6"/>
        <v>1</v>
      </c>
      <c r="H122" s="18"/>
      <c r="I122" s="19">
        <f t="shared" si="7"/>
        <v>0</v>
      </c>
      <c r="J122" s="19"/>
      <c r="K122" s="20"/>
      <c r="L122" s="19"/>
      <c r="M122" t="str">
        <f t="shared" si="8"/>
        <v/>
      </c>
      <c r="N122" t="str">
        <f t="shared" si="9"/>
        <v/>
      </c>
    </row>
    <row r="123" spans="1:14" x14ac:dyDescent="0.25">
      <c r="A123" s="4" t="s">
        <v>62</v>
      </c>
      <c r="B123" s="1"/>
      <c r="C123" s="5" t="s">
        <v>5</v>
      </c>
      <c r="D123" s="13" t="s">
        <v>493</v>
      </c>
      <c r="E123" s="30">
        <v>17.54</v>
      </c>
      <c r="F123" s="43"/>
      <c r="G123" s="20">
        <f t="shared" si="6"/>
        <v>1</v>
      </c>
      <c r="H123" s="18"/>
      <c r="I123" s="19">
        <f t="shared" si="7"/>
        <v>1</v>
      </c>
      <c r="J123" s="19"/>
      <c r="K123" s="20"/>
      <c r="L123" s="19"/>
      <c r="M123" t="str">
        <f t="shared" si="8"/>
        <v/>
      </c>
      <c r="N123" t="str">
        <f t="shared" si="9"/>
        <v/>
      </c>
    </row>
    <row r="124" spans="1:14" x14ac:dyDescent="0.25">
      <c r="A124" s="26" t="s">
        <v>533</v>
      </c>
      <c r="B124" s="27" t="s">
        <v>522</v>
      </c>
      <c r="C124" s="28"/>
      <c r="D124" s="29" t="s">
        <v>430</v>
      </c>
      <c r="E124" s="32">
        <v>39</v>
      </c>
      <c r="F124" s="71" t="s">
        <v>608</v>
      </c>
      <c r="G124" s="20">
        <f t="shared" si="6"/>
        <v>1</v>
      </c>
      <c r="H124" s="18"/>
      <c r="I124" s="19">
        <f t="shared" si="7"/>
        <v>0</v>
      </c>
      <c r="J124" s="19"/>
      <c r="K124" s="20"/>
      <c r="L124" s="19"/>
      <c r="M124" t="str">
        <f t="shared" si="8"/>
        <v/>
      </c>
      <c r="N124" t="str">
        <f t="shared" si="9"/>
        <v/>
      </c>
    </row>
    <row r="125" spans="1:14" x14ac:dyDescent="0.25">
      <c r="A125" s="2" t="s">
        <v>327</v>
      </c>
      <c r="B125" s="21"/>
      <c r="C125" s="3"/>
      <c r="D125" s="14"/>
      <c r="E125" s="31"/>
      <c r="F125" s="45" t="s">
        <v>607</v>
      </c>
      <c r="G125" s="20">
        <f t="shared" si="6"/>
        <v>1</v>
      </c>
      <c r="H125" s="18"/>
      <c r="I125" s="19">
        <f t="shared" si="7"/>
        <v>0</v>
      </c>
      <c r="J125" s="19"/>
      <c r="K125" s="20"/>
      <c r="L125" s="19"/>
      <c r="M125" t="str">
        <f t="shared" si="8"/>
        <v/>
      </c>
      <c r="N125" t="str">
        <f t="shared" si="9"/>
        <v/>
      </c>
    </row>
    <row r="126" spans="1:14" x14ac:dyDescent="0.25">
      <c r="A126" s="26" t="s">
        <v>63</v>
      </c>
      <c r="B126" s="27" t="s">
        <v>522</v>
      </c>
      <c r="C126" s="28"/>
      <c r="D126" s="29" t="s">
        <v>534</v>
      </c>
      <c r="E126" s="32"/>
      <c r="F126" s="71" t="s">
        <v>609</v>
      </c>
      <c r="G126" s="20">
        <f t="shared" si="6"/>
        <v>1</v>
      </c>
      <c r="H126" s="18"/>
      <c r="I126" s="19">
        <f t="shared" si="7"/>
        <v>0</v>
      </c>
      <c r="J126" s="19"/>
      <c r="K126" s="20"/>
      <c r="L126" s="19"/>
      <c r="M126" t="str">
        <f t="shared" si="8"/>
        <v/>
      </c>
      <c r="N126" t="str">
        <f t="shared" si="9"/>
        <v/>
      </c>
    </row>
    <row r="127" spans="1:14" x14ac:dyDescent="0.25">
      <c r="A127" s="4" t="s">
        <v>427</v>
      </c>
      <c r="B127" s="1"/>
      <c r="C127" s="5" t="s">
        <v>5</v>
      </c>
      <c r="D127" s="13" t="s">
        <v>480</v>
      </c>
      <c r="E127" s="30"/>
      <c r="F127" s="43"/>
      <c r="G127" s="20">
        <f t="shared" si="6"/>
        <v>1</v>
      </c>
      <c r="H127" s="18"/>
      <c r="I127" s="19">
        <f t="shared" si="7"/>
        <v>1</v>
      </c>
      <c r="J127" s="19"/>
      <c r="K127" s="20"/>
      <c r="L127" s="19"/>
      <c r="M127" t="str">
        <f t="shared" si="8"/>
        <v/>
      </c>
      <c r="N127" t="str">
        <f t="shared" si="9"/>
        <v/>
      </c>
    </row>
    <row r="128" spans="1:14" x14ac:dyDescent="0.25">
      <c r="A128" s="4" t="s">
        <v>338</v>
      </c>
      <c r="B128" s="1"/>
      <c r="C128" s="5" t="s">
        <v>5</v>
      </c>
      <c r="D128" s="13" t="s">
        <v>422</v>
      </c>
      <c r="E128" s="30"/>
      <c r="F128" s="43"/>
      <c r="G128" s="20">
        <f t="shared" si="6"/>
        <v>1</v>
      </c>
      <c r="H128" s="18"/>
      <c r="I128" s="19">
        <f t="shared" si="7"/>
        <v>1</v>
      </c>
      <c r="J128" s="19"/>
      <c r="K128" s="20"/>
      <c r="L128" s="19"/>
    </row>
    <row r="129" spans="1:14" x14ac:dyDescent="0.25">
      <c r="A129" s="4" t="s">
        <v>64</v>
      </c>
      <c r="B129" s="1"/>
      <c r="C129" s="5" t="s">
        <v>5</v>
      </c>
      <c r="D129" s="13"/>
      <c r="E129" s="30"/>
      <c r="F129" s="43"/>
      <c r="G129" s="20">
        <f t="shared" si="6"/>
        <v>1</v>
      </c>
      <c r="H129" s="18"/>
      <c r="I129" s="19">
        <f t="shared" si="7"/>
        <v>1</v>
      </c>
      <c r="J129" s="19"/>
      <c r="K129" s="20"/>
      <c r="L129" s="19"/>
      <c r="M129" t="str">
        <f t="shared" si="8"/>
        <v/>
      </c>
      <c r="N129" t="str">
        <f t="shared" si="9"/>
        <v/>
      </c>
    </row>
    <row r="130" spans="1:14" x14ac:dyDescent="0.25">
      <c r="A130" s="4" t="s">
        <v>419</v>
      </c>
      <c r="B130" s="1"/>
      <c r="C130" s="5" t="s">
        <v>5</v>
      </c>
      <c r="D130" s="13"/>
      <c r="E130" s="30"/>
      <c r="F130" s="43"/>
      <c r="G130" s="20">
        <f t="shared" si="6"/>
        <v>1</v>
      </c>
      <c r="H130" s="18"/>
      <c r="I130" s="19">
        <f t="shared" si="7"/>
        <v>1</v>
      </c>
      <c r="J130" s="19"/>
      <c r="K130" s="20"/>
      <c r="L130" s="19"/>
      <c r="M130" t="str">
        <f t="shared" si="8"/>
        <v/>
      </c>
      <c r="N130" t="str">
        <f t="shared" si="9"/>
        <v/>
      </c>
    </row>
    <row r="131" spans="1:14" x14ac:dyDescent="0.25">
      <c r="A131" s="4" t="s">
        <v>451</v>
      </c>
      <c r="B131" s="1"/>
      <c r="C131" s="5" t="s">
        <v>5</v>
      </c>
      <c r="D131" s="13" t="s">
        <v>430</v>
      </c>
      <c r="E131" s="30">
        <v>25</v>
      </c>
      <c r="F131" s="43"/>
      <c r="G131" s="20">
        <f t="shared" si="6"/>
        <v>1</v>
      </c>
      <c r="H131" s="18"/>
      <c r="I131" s="19">
        <f t="shared" si="7"/>
        <v>1</v>
      </c>
      <c r="J131" s="19"/>
      <c r="K131" s="20"/>
      <c r="L131" s="19"/>
      <c r="M131" t="str">
        <f t="shared" si="8"/>
        <v/>
      </c>
      <c r="N131" t="str">
        <f t="shared" si="9"/>
        <v/>
      </c>
    </row>
    <row r="132" spans="1:14" x14ac:dyDescent="0.25">
      <c r="A132" s="4" t="s">
        <v>200</v>
      </c>
      <c r="B132" s="1"/>
      <c r="C132" s="5" t="s">
        <v>5</v>
      </c>
      <c r="D132" s="13"/>
      <c r="E132" s="30"/>
      <c r="F132" s="43"/>
      <c r="G132" s="20">
        <f t="shared" si="6"/>
        <v>1</v>
      </c>
      <c r="H132" s="18"/>
      <c r="I132" s="19">
        <f t="shared" si="7"/>
        <v>1</v>
      </c>
      <c r="J132" s="19"/>
      <c r="K132" s="20"/>
      <c r="L132" s="19"/>
      <c r="M132" t="str">
        <f t="shared" si="8"/>
        <v/>
      </c>
      <c r="N132" t="str">
        <f t="shared" si="9"/>
        <v/>
      </c>
    </row>
    <row r="133" spans="1:14" x14ac:dyDescent="0.25">
      <c r="A133" s="4" t="s">
        <v>9</v>
      </c>
      <c r="B133" s="1"/>
      <c r="C133" s="5" t="s">
        <v>5</v>
      </c>
      <c r="D133" s="13"/>
      <c r="E133" s="30"/>
      <c r="F133" s="43"/>
      <c r="G133" s="20">
        <f t="shared" si="6"/>
        <v>1</v>
      </c>
      <c r="H133" s="18"/>
      <c r="I133" s="19">
        <f t="shared" si="7"/>
        <v>1</v>
      </c>
      <c r="J133" s="19"/>
      <c r="K133" s="20"/>
      <c r="L133" s="19"/>
      <c r="M133" t="str">
        <f t="shared" si="8"/>
        <v/>
      </c>
      <c r="N133" t="str">
        <f t="shared" si="9"/>
        <v/>
      </c>
    </row>
    <row r="134" spans="1:14" x14ac:dyDescent="0.25">
      <c r="A134" s="4" t="s">
        <v>537</v>
      </c>
      <c r="B134" s="1"/>
      <c r="C134" s="5" t="s">
        <v>5</v>
      </c>
      <c r="D134" s="13" t="s">
        <v>430</v>
      </c>
      <c r="E134" s="30">
        <v>29</v>
      </c>
      <c r="F134" s="46"/>
      <c r="G134" s="20">
        <f t="shared" si="6"/>
        <v>1</v>
      </c>
      <c r="H134" s="18"/>
      <c r="I134" s="19">
        <f t="shared" si="7"/>
        <v>1</v>
      </c>
      <c r="J134" s="19"/>
      <c r="K134" s="20"/>
      <c r="L134" s="19"/>
      <c r="M134" t="str">
        <f t="shared" si="8"/>
        <v/>
      </c>
      <c r="N134" t="str">
        <f t="shared" si="9"/>
        <v/>
      </c>
    </row>
    <row r="135" spans="1:14" x14ac:dyDescent="0.25">
      <c r="A135" s="4" t="s">
        <v>527</v>
      </c>
      <c r="B135" s="1"/>
      <c r="C135" s="5" t="s">
        <v>5</v>
      </c>
      <c r="D135" s="13" t="s">
        <v>523</v>
      </c>
      <c r="E135" s="30">
        <v>15</v>
      </c>
      <c r="F135" s="43"/>
      <c r="G135" s="20">
        <f t="shared" ref="G135:G199" si="10">COUNTA(A135)</f>
        <v>1</v>
      </c>
      <c r="H135" s="18"/>
      <c r="I135" s="19">
        <f t="shared" ref="I135:I136" si="11">COUNTA(C135)</f>
        <v>1</v>
      </c>
      <c r="J135" s="19"/>
      <c r="K135" s="20"/>
      <c r="L135" s="19"/>
      <c r="M135" t="str">
        <f t="shared" si="8"/>
        <v/>
      </c>
      <c r="N135" t="str">
        <f t="shared" si="9"/>
        <v/>
      </c>
    </row>
    <row r="136" spans="1:14" x14ac:dyDescent="0.25">
      <c r="A136" s="4" t="s">
        <v>65</v>
      </c>
      <c r="B136" s="1"/>
      <c r="C136" s="5" t="s">
        <v>5</v>
      </c>
      <c r="D136" s="13" t="s">
        <v>430</v>
      </c>
      <c r="E136" s="30">
        <v>34</v>
      </c>
      <c r="F136" s="43"/>
      <c r="G136" s="20">
        <f t="shared" si="10"/>
        <v>1</v>
      </c>
      <c r="H136" s="18"/>
      <c r="I136" s="19">
        <f t="shared" si="11"/>
        <v>1</v>
      </c>
      <c r="J136" s="19"/>
      <c r="K136" s="20"/>
      <c r="L136" s="19"/>
    </row>
    <row r="137" spans="1:14" x14ac:dyDescent="0.25">
      <c r="A137" s="2" t="s">
        <v>368</v>
      </c>
      <c r="B137" s="21"/>
      <c r="C137" s="3"/>
      <c r="D137" s="14"/>
      <c r="E137" s="31"/>
      <c r="F137" s="45" t="s">
        <v>610</v>
      </c>
      <c r="G137" s="20">
        <f t="shared" si="10"/>
        <v>1</v>
      </c>
      <c r="H137" s="18"/>
      <c r="I137" s="19">
        <f t="shared" ref="I137:I199" si="12">COUNTA(C137)</f>
        <v>0</v>
      </c>
      <c r="J137" s="19"/>
      <c r="K137" s="20"/>
      <c r="L137" s="19"/>
      <c r="M137" t="str">
        <f t="shared" si="8"/>
        <v/>
      </c>
      <c r="N137" t="str">
        <f t="shared" si="9"/>
        <v/>
      </c>
    </row>
    <row r="138" spans="1:14" x14ac:dyDescent="0.25">
      <c r="A138" s="2" t="s">
        <v>66</v>
      </c>
      <c r="B138" s="21"/>
      <c r="C138" s="3"/>
      <c r="D138" s="14"/>
      <c r="E138" s="31"/>
      <c r="F138" s="45" t="s">
        <v>611</v>
      </c>
      <c r="G138" s="20">
        <f t="shared" si="10"/>
        <v>1</v>
      </c>
      <c r="H138" s="18"/>
      <c r="I138" s="19">
        <f t="shared" si="12"/>
        <v>0</v>
      </c>
      <c r="J138" s="19"/>
      <c r="K138" s="20"/>
      <c r="L138" s="19"/>
      <c r="M138" t="str">
        <f t="shared" si="8"/>
        <v/>
      </c>
      <c r="N138" t="str">
        <f t="shared" si="9"/>
        <v/>
      </c>
    </row>
    <row r="139" spans="1:14" x14ac:dyDescent="0.25">
      <c r="A139" s="2" t="s">
        <v>613</v>
      </c>
      <c r="B139" s="21"/>
      <c r="C139" s="3"/>
      <c r="D139" s="14"/>
      <c r="E139" s="31"/>
      <c r="F139" s="45" t="s">
        <v>612</v>
      </c>
      <c r="G139" s="20">
        <f t="shared" si="10"/>
        <v>1</v>
      </c>
      <c r="H139" s="18"/>
      <c r="I139" s="19">
        <f t="shared" si="12"/>
        <v>0</v>
      </c>
      <c r="J139" s="19"/>
      <c r="K139" s="20"/>
      <c r="L139" s="19"/>
      <c r="M139" t="str">
        <f t="shared" si="8"/>
        <v/>
      </c>
      <c r="N139" t="str">
        <f t="shared" si="9"/>
        <v/>
      </c>
    </row>
    <row r="140" spans="1:14" x14ac:dyDescent="0.25">
      <c r="A140" s="2" t="s">
        <v>67</v>
      </c>
      <c r="B140" s="21"/>
      <c r="C140" s="3"/>
      <c r="D140" s="14"/>
      <c r="E140" s="31"/>
      <c r="F140" s="45" t="s">
        <v>614</v>
      </c>
      <c r="G140" s="20">
        <f t="shared" si="10"/>
        <v>1</v>
      </c>
      <c r="H140" s="18"/>
      <c r="I140" s="19">
        <f t="shared" si="12"/>
        <v>0</v>
      </c>
      <c r="J140" s="19"/>
      <c r="K140" s="20"/>
      <c r="L140" s="19"/>
    </row>
    <row r="141" spans="1:14" x14ac:dyDescent="0.25">
      <c r="A141" s="2" t="s">
        <v>68</v>
      </c>
      <c r="B141" s="21"/>
      <c r="C141" s="3"/>
      <c r="D141" s="14"/>
      <c r="E141" s="31"/>
      <c r="F141" s="45" t="s">
        <v>615</v>
      </c>
      <c r="G141" s="20">
        <f t="shared" si="10"/>
        <v>1</v>
      </c>
      <c r="H141" s="18"/>
      <c r="I141" s="19">
        <f t="shared" si="12"/>
        <v>0</v>
      </c>
      <c r="J141" s="19"/>
      <c r="K141" s="20"/>
      <c r="L141" s="19"/>
      <c r="M141" t="str">
        <f t="shared" si="8"/>
        <v/>
      </c>
      <c r="N141" t="str">
        <f t="shared" si="9"/>
        <v/>
      </c>
    </row>
    <row r="142" spans="1:14" x14ac:dyDescent="0.25">
      <c r="A142" s="2" t="s">
        <v>617</v>
      </c>
      <c r="B142" s="21"/>
      <c r="C142" s="3"/>
      <c r="D142" s="14"/>
      <c r="E142" s="31"/>
      <c r="F142" s="45" t="s">
        <v>616</v>
      </c>
      <c r="G142" s="20">
        <f t="shared" si="10"/>
        <v>1</v>
      </c>
      <c r="H142" s="18"/>
      <c r="I142" s="19">
        <f t="shared" si="12"/>
        <v>0</v>
      </c>
      <c r="J142" s="19"/>
      <c r="K142" s="20"/>
      <c r="L142" s="19"/>
      <c r="M142" t="str">
        <f t="shared" ref="M142:M207" si="13">IF(B142=1,E142,"")</f>
        <v/>
      </c>
      <c r="N142" t="str">
        <f t="shared" ref="N142:N207" si="14">IF(B142=2,E142,"")</f>
        <v/>
      </c>
    </row>
    <row r="143" spans="1:14" x14ac:dyDescent="0.25">
      <c r="A143" s="4" t="s">
        <v>437</v>
      </c>
      <c r="B143" s="1"/>
      <c r="C143" s="5" t="s">
        <v>5</v>
      </c>
      <c r="D143" s="13" t="s">
        <v>430</v>
      </c>
      <c r="E143" s="30">
        <v>19</v>
      </c>
      <c r="F143" s="43"/>
      <c r="G143" s="20">
        <f t="shared" si="10"/>
        <v>1</v>
      </c>
      <c r="H143" s="18"/>
      <c r="I143" s="19">
        <f t="shared" si="12"/>
        <v>1</v>
      </c>
      <c r="J143" s="19"/>
      <c r="K143" s="20"/>
      <c r="L143" s="19"/>
      <c r="M143" t="str">
        <f t="shared" si="13"/>
        <v/>
      </c>
      <c r="N143" t="str">
        <f t="shared" si="14"/>
        <v/>
      </c>
    </row>
    <row r="144" spans="1:14" x14ac:dyDescent="0.25">
      <c r="A144" s="4" t="s">
        <v>69</v>
      </c>
      <c r="B144" s="1"/>
      <c r="C144" s="5" t="s">
        <v>5</v>
      </c>
      <c r="D144" s="13" t="s">
        <v>430</v>
      </c>
      <c r="E144" s="30">
        <v>34</v>
      </c>
      <c r="F144" s="43"/>
      <c r="G144" s="20">
        <f t="shared" si="10"/>
        <v>1</v>
      </c>
      <c r="H144" s="18"/>
      <c r="I144" s="19">
        <f t="shared" si="12"/>
        <v>1</v>
      </c>
      <c r="J144" s="19"/>
      <c r="K144" s="20"/>
      <c r="L144" s="19"/>
      <c r="M144" t="str">
        <f t="shared" si="13"/>
        <v/>
      </c>
      <c r="N144" t="str">
        <f t="shared" si="14"/>
        <v/>
      </c>
    </row>
    <row r="145" spans="1:14" x14ac:dyDescent="0.25">
      <c r="A145" s="4" t="s">
        <v>296</v>
      </c>
      <c r="B145" s="1"/>
      <c r="C145" s="5" t="s">
        <v>5</v>
      </c>
      <c r="D145" s="13"/>
      <c r="E145" s="30"/>
      <c r="F145" s="43"/>
      <c r="G145" s="20">
        <f t="shared" si="10"/>
        <v>1</v>
      </c>
      <c r="H145" s="18"/>
      <c r="I145" s="19">
        <f t="shared" si="12"/>
        <v>1</v>
      </c>
      <c r="J145" s="19"/>
      <c r="K145" s="20"/>
      <c r="L145" s="19"/>
      <c r="M145" t="str">
        <f t="shared" si="13"/>
        <v/>
      </c>
      <c r="N145" t="str">
        <f t="shared" si="14"/>
        <v/>
      </c>
    </row>
    <row r="146" spans="1:14" x14ac:dyDescent="0.25">
      <c r="A146" s="4" t="s">
        <v>363</v>
      </c>
      <c r="B146" s="1"/>
      <c r="C146" s="5" t="s">
        <v>5</v>
      </c>
      <c r="D146" s="13" t="s">
        <v>618</v>
      </c>
      <c r="E146" s="30"/>
      <c r="F146" s="46"/>
      <c r="G146" s="20">
        <f t="shared" si="10"/>
        <v>1</v>
      </c>
      <c r="H146" s="18"/>
      <c r="I146" s="19">
        <f t="shared" si="12"/>
        <v>1</v>
      </c>
      <c r="J146" s="19"/>
      <c r="K146" s="20"/>
      <c r="L146" s="19"/>
      <c r="M146" t="str">
        <f t="shared" si="13"/>
        <v/>
      </c>
      <c r="N146" t="str">
        <f t="shared" si="14"/>
        <v/>
      </c>
    </row>
    <row r="147" spans="1:14" x14ac:dyDescent="0.25">
      <c r="A147" s="4" t="s">
        <v>436</v>
      </c>
      <c r="B147" s="1"/>
      <c r="C147" s="5" t="s">
        <v>5</v>
      </c>
      <c r="D147" s="13" t="s">
        <v>430</v>
      </c>
      <c r="E147" s="30">
        <v>12</v>
      </c>
      <c r="F147" s="43"/>
      <c r="G147" s="20">
        <f t="shared" si="10"/>
        <v>1</v>
      </c>
      <c r="H147" s="18"/>
      <c r="I147" s="19">
        <f t="shared" si="12"/>
        <v>1</v>
      </c>
      <c r="J147" s="19"/>
      <c r="K147" s="20"/>
      <c r="L147" s="19"/>
      <c r="M147" t="str">
        <f t="shared" si="13"/>
        <v/>
      </c>
      <c r="N147" t="str">
        <f t="shared" si="14"/>
        <v/>
      </c>
    </row>
    <row r="148" spans="1:14" x14ac:dyDescent="0.25">
      <c r="A148" s="2" t="s">
        <v>498</v>
      </c>
      <c r="B148" s="21"/>
      <c r="C148" s="3"/>
      <c r="D148" s="14" t="s">
        <v>620</v>
      </c>
      <c r="E148" s="31"/>
      <c r="F148" s="45" t="s">
        <v>619</v>
      </c>
      <c r="G148" s="20">
        <f t="shared" si="10"/>
        <v>1</v>
      </c>
      <c r="H148" s="18"/>
      <c r="I148" s="19">
        <f t="shared" si="12"/>
        <v>0</v>
      </c>
      <c r="J148" s="19"/>
      <c r="K148" s="20"/>
      <c r="L148" s="19"/>
      <c r="M148" t="str">
        <f t="shared" si="13"/>
        <v/>
      </c>
      <c r="N148" t="str">
        <f t="shared" si="14"/>
        <v/>
      </c>
    </row>
    <row r="149" spans="1:14" x14ac:dyDescent="0.25">
      <c r="A149" s="4" t="s">
        <v>435</v>
      </c>
      <c r="B149" s="1"/>
      <c r="C149" s="5" t="s">
        <v>5</v>
      </c>
      <c r="D149" s="13" t="s">
        <v>430</v>
      </c>
      <c r="E149" s="30">
        <v>12</v>
      </c>
      <c r="F149" s="43"/>
      <c r="G149" s="20">
        <f t="shared" si="10"/>
        <v>1</v>
      </c>
      <c r="H149" s="18"/>
      <c r="I149" s="19">
        <f t="shared" si="12"/>
        <v>1</v>
      </c>
      <c r="J149" s="19"/>
      <c r="K149" s="20"/>
      <c r="L149" s="19"/>
      <c r="M149" t="str">
        <f t="shared" si="13"/>
        <v/>
      </c>
      <c r="N149" t="str">
        <f t="shared" si="14"/>
        <v/>
      </c>
    </row>
    <row r="150" spans="1:14" x14ac:dyDescent="0.25">
      <c r="A150" s="4" t="s">
        <v>217</v>
      </c>
      <c r="B150" s="1"/>
      <c r="C150" s="5" t="s">
        <v>5</v>
      </c>
      <c r="D150" s="13"/>
      <c r="E150" s="30"/>
      <c r="F150" s="43"/>
      <c r="G150" s="20">
        <f t="shared" si="10"/>
        <v>1</v>
      </c>
      <c r="H150" s="18"/>
      <c r="I150" s="19">
        <f t="shared" si="12"/>
        <v>1</v>
      </c>
      <c r="J150" s="19"/>
      <c r="K150" s="20"/>
      <c r="L150" s="19"/>
      <c r="M150" t="str">
        <f t="shared" si="13"/>
        <v/>
      </c>
      <c r="N150" t="str">
        <f t="shared" si="14"/>
        <v/>
      </c>
    </row>
    <row r="151" spans="1:14" x14ac:dyDescent="0.25">
      <c r="A151" s="2" t="s">
        <v>70</v>
      </c>
      <c r="B151" s="21"/>
      <c r="C151" s="3"/>
      <c r="D151" s="14"/>
      <c r="E151" s="31"/>
      <c r="F151" s="45" t="s">
        <v>621</v>
      </c>
      <c r="G151" s="20">
        <f t="shared" si="10"/>
        <v>1</v>
      </c>
      <c r="H151" s="18"/>
      <c r="I151" s="19">
        <f t="shared" si="12"/>
        <v>0</v>
      </c>
      <c r="J151" s="19"/>
      <c r="K151" s="20"/>
      <c r="L151" s="19"/>
      <c r="M151" t="str">
        <f t="shared" si="13"/>
        <v/>
      </c>
      <c r="N151" t="str">
        <f t="shared" si="14"/>
        <v/>
      </c>
    </row>
    <row r="152" spans="1:14" x14ac:dyDescent="0.25">
      <c r="A152" s="2" t="s">
        <v>366</v>
      </c>
      <c r="B152" s="21"/>
      <c r="C152" s="3"/>
      <c r="D152" s="14"/>
      <c r="E152" s="31"/>
      <c r="F152" s="45" t="s">
        <v>622</v>
      </c>
      <c r="G152" s="20">
        <f t="shared" si="10"/>
        <v>1</v>
      </c>
      <c r="H152" s="18"/>
      <c r="I152" s="19">
        <f t="shared" si="12"/>
        <v>0</v>
      </c>
      <c r="J152" s="19"/>
      <c r="K152" s="20"/>
      <c r="L152" s="19"/>
      <c r="M152" t="str">
        <f t="shared" si="13"/>
        <v/>
      </c>
      <c r="N152" t="str">
        <f t="shared" si="14"/>
        <v/>
      </c>
    </row>
    <row r="153" spans="1:14" x14ac:dyDescent="0.25">
      <c r="A153" s="4" t="s">
        <v>485</v>
      </c>
      <c r="B153" s="1"/>
      <c r="C153" s="5" t="s">
        <v>5</v>
      </c>
      <c r="D153" s="13"/>
      <c r="E153" s="30"/>
      <c r="F153" s="43"/>
      <c r="G153" s="20">
        <f t="shared" si="10"/>
        <v>1</v>
      </c>
      <c r="H153" s="18"/>
      <c r="I153" s="19">
        <f t="shared" si="12"/>
        <v>1</v>
      </c>
      <c r="J153" s="19"/>
      <c r="K153" s="20"/>
      <c r="L153" s="19"/>
      <c r="M153" t="str">
        <f t="shared" si="13"/>
        <v/>
      </c>
      <c r="N153" t="str">
        <f t="shared" si="14"/>
        <v/>
      </c>
    </row>
    <row r="154" spans="1:14" x14ac:dyDescent="0.25">
      <c r="A154" s="4" t="s">
        <v>510</v>
      </c>
      <c r="B154" s="1"/>
      <c r="C154" s="5" t="s">
        <v>5</v>
      </c>
      <c r="D154" s="13" t="s">
        <v>493</v>
      </c>
      <c r="E154" s="30">
        <v>10.1</v>
      </c>
      <c r="F154" s="43"/>
      <c r="G154" s="20">
        <f t="shared" si="10"/>
        <v>1</v>
      </c>
      <c r="H154" s="18"/>
      <c r="I154" s="19">
        <f t="shared" si="12"/>
        <v>1</v>
      </c>
      <c r="J154" s="19"/>
      <c r="K154" s="20"/>
      <c r="L154" s="19"/>
    </row>
    <row r="155" spans="1:14" x14ac:dyDescent="0.25">
      <c r="A155" s="4" t="s">
        <v>525</v>
      </c>
      <c r="B155" s="1"/>
      <c r="C155" s="5" t="s">
        <v>5</v>
      </c>
      <c r="D155" s="13" t="s">
        <v>523</v>
      </c>
      <c r="E155" s="30">
        <v>10</v>
      </c>
      <c r="F155" s="43">
        <v>17</v>
      </c>
      <c r="G155" s="20">
        <f t="shared" si="10"/>
        <v>1</v>
      </c>
      <c r="H155" s="18"/>
      <c r="I155" s="19">
        <f t="shared" si="12"/>
        <v>1</v>
      </c>
      <c r="J155" s="19"/>
      <c r="K155" s="20"/>
      <c r="L155" s="19"/>
      <c r="M155" t="str">
        <f t="shared" si="13"/>
        <v/>
      </c>
      <c r="N155" t="str">
        <f t="shared" si="14"/>
        <v/>
      </c>
    </row>
    <row r="156" spans="1:14" x14ac:dyDescent="0.25">
      <c r="A156" s="4" t="s">
        <v>407</v>
      </c>
      <c r="B156" s="1"/>
      <c r="C156" s="5" t="s">
        <v>5</v>
      </c>
      <c r="D156" s="13" t="s">
        <v>508</v>
      </c>
      <c r="E156" s="30">
        <v>7.85</v>
      </c>
      <c r="F156" s="43"/>
      <c r="G156" s="20">
        <f t="shared" si="10"/>
        <v>1</v>
      </c>
      <c r="H156" s="18"/>
      <c r="I156" s="19">
        <f t="shared" si="12"/>
        <v>1</v>
      </c>
      <c r="J156" s="19"/>
      <c r="K156" s="20"/>
      <c r="L156" s="19"/>
      <c r="M156" t="str">
        <f t="shared" si="13"/>
        <v/>
      </c>
      <c r="N156" t="str">
        <f t="shared" si="14"/>
        <v/>
      </c>
    </row>
    <row r="157" spans="1:14" x14ac:dyDescent="0.25">
      <c r="A157" s="2" t="s">
        <v>417</v>
      </c>
      <c r="B157" s="21"/>
      <c r="C157" s="3"/>
      <c r="D157" s="14"/>
      <c r="E157" s="31"/>
      <c r="F157" s="45" t="s">
        <v>623</v>
      </c>
      <c r="G157" s="20">
        <f t="shared" si="10"/>
        <v>1</v>
      </c>
      <c r="H157" s="18"/>
      <c r="I157" s="19">
        <f t="shared" si="12"/>
        <v>0</v>
      </c>
      <c r="J157" s="19"/>
      <c r="K157" s="20"/>
      <c r="L157" s="19"/>
      <c r="M157" t="str">
        <f t="shared" si="13"/>
        <v/>
      </c>
      <c r="N157" t="str">
        <f t="shared" si="14"/>
        <v/>
      </c>
    </row>
    <row r="158" spans="1:14" x14ac:dyDescent="0.25">
      <c r="A158" s="4" t="s">
        <v>189</v>
      </c>
      <c r="B158" s="1"/>
      <c r="C158" s="5" t="s">
        <v>5</v>
      </c>
      <c r="D158" s="13"/>
      <c r="E158" s="30"/>
      <c r="F158" s="43"/>
      <c r="G158" s="20">
        <f t="shared" si="10"/>
        <v>1</v>
      </c>
      <c r="H158" s="18"/>
      <c r="I158" s="19">
        <f t="shared" si="12"/>
        <v>1</v>
      </c>
      <c r="J158" s="19"/>
      <c r="K158" s="20"/>
      <c r="L158" s="19"/>
      <c r="M158" t="str">
        <f t="shared" si="13"/>
        <v/>
      </c>
      <c r="N158" t="str">
        <f t="shared" si="14"/>
        <v/>
      </c>
    </row>
    <row r="159" spans="1:14" x14ac:dyDescent="0.25">
      <c r="A159" s="4" t="s">
        <v>313</v>
      </c>
      <c r="B159" s="1"/>
      <c r="C159" s="5" t="s">
        <v>5</v>
      </c>
      <c r="D159" s="13" t="s">
        <v>430</v>
      </c>
      <c r="E159" s="30">
        <v>12</v>
      </c>
      <c r="F159" s="43"/>
      <c r="G159" s="20">
        <f t="shared" si="10"/>
        <v>1</v>
      </c>
      <c r="H159" s="18"/>
      <c r="I159" s="19">
        <f t="shared" si="12"/>
        <v>1</v>
      </c>
      <c r="J159" s="19"/>
      <c r="K159" s="20"/>
      <c r="L159" s="19"/>
    </row>
    <row r="160" spans="1:14" x14ac:dyDescent="0.25">
      <c r="A160" s="4" t="s">
        <v>314</v>
      </c>
      <c r="B160" s="1"/>
      <c r="C160" s="5" t="s">
        <v>5</v>
      </c>
      <c r="D160" s="13" t="s">
        <v>430</v>
      </c>
      <c r="E160" s="30"/>
      <c r="F160" s="43"/>
      <c r="G160" s="20">
        <f t="shared" si="10"/>
        <v>1</v>
      </c>
      <c r="H160" s="18"/>
      <c r="I160" s="19">
        <f t="shared" si="12"/>
        <v>1</v>
      </c>
      <c r="J160" s="19"/>
      <c r="K160" s="20"/>
      <c r="L160" s="19"/>
      <c r="M160" t="str">
        <f t="shared" si="13"/>
        <v/>
      </c>
      <c r="N160" t="str">
        <f t="shared" si="14"/>
        <v/>
      </c>
    </row>
    <row r="161" spans="1:14" x14ac:dyDescent="0.25">
      <c r="A161" s="4" t="s">
        <v>71</v>
      </c>
      <c r="B161" s="1"/>
      <c r="C161" s="5" t="s">
        <v>5</v>
      </c>
      <c r="D161" s="13" t="s">
        <v>470</v>
      </c>
      <c r="E161" s="30"/>
      <c r="F161" s="43"/>
      <c r="G161" s="20">
        <f t="shared" si="10"/>
        <v>1</v>
      </c>
      <c r="H161" s="18"/>
      <c r="I161" s="19">
        <f t="shared" si="12"/>
        <v>1</v>
      </c>
      <c r="J161" s="19"/>
      <c r="K161" s="20"/>
      <c r="L161" s="19"/>
      <c r="M161" t="str">
        <f t="shared" si="13"/>
        <v/>
      </c>
      <c r="N161" t="str">
        <f t="shared" si="14"/>
        <v/>
      </c>
    </row>
    <row r="162" spans="1:14" x14ac:dyDescent="0.25">
      <c r="A162" s="2" t="s">
        <v>218</v>
      </c>
      <c r="B162" s="21"/>
      <c r="C162" s="3"/>
      <c r="D162" s="14" t="s">
        <v>624</v>
      </c>
      <c r="E162" s="31"/>
      <c r="F162" s="45" t="s">
        <v>625</v>
      </c>
      <c r="G162" s="20">
        <f t="shared" si="10"/>
        <v>1</v>
      </c>
      <c r="H162" s="18"/>
      <c r="I162" s="19">
        <f t="shared" si="12"/>
        <v>0</v>
      </c>
      <c r="J162" s="19"/>
      <c r="K162" s="20"/>
      <c r="L162" s="19"/>
      <c r="M162" t="str">
        <f t="shared" si="13"/>
        <v/>
      </c>
      <c r="N162" t="str">
        <f t="shared" si="14"/>
        <v/>
      </c>
    </row>
    <row r="163" spans="1:14" x14ac:dyDescent="0.25">
      <c r="A163" s="2" t="s">
        <v>258</v>
      </c>
      <c r="B163" s="21"/>
      <c r="C163" s="3"/>
      <c r="D163" s="14"/>
      <c r="E163" s="31"/>
      <c r="F163" s="45" t="s">
        <v>626</v>
      </c>
      <c r="G163" s="20">
        <f t="shared" si="10"/>
        <v>1</v>
      </c>
      <c r="H163" s="18"/>
      <c r="I163" s="19">
        <f t="shared" si="12"/>
        <v>0</v>
      </c>
      <c r="J163" s="19"/>
      <c r="K163" s="20"/>
      <c r="L163" s="19"/>
      <c r="M163" t="str">
        <f t="shared" si="13"/>
        <v/>
      </c>
      <c r="N163" t="str">
        <f t="shared" si="14"/>
        <v/>
      </c>
    </row>
    <row r="164" spans="1:14" x14ac:dyDescent="0.25">
      <c r="A164" s="2" t="s">
        <v>410</v>
      </c>
      <c r="B164" s="21"/>
      <c r="C164" s="3"/>
      <c r="D164" s="14"/>
      <c r="E164" s="31"/>
      <c r="F164" s="45" t="s">
        <v>627</v>
      </c>
      <c r="G164" s="20">
        <f t="shared" si="10"/>
        <v>1</v>
      </c>
      <c r="H164" s="18"/>
      <c r="I164" s="19">
        <f t="shared" si="12"/>
        <v>0</v>
      </c>
      <c r="J164" s="19"/>
      <c r="K164" s="20"/>
      <c r="L164" s="19"/>
      <c r="M164" t="str">
        <f t="shared" si="13"/>
        <v/>
      </c>
      <c r="N164" t="str">
        <f t="shared" si="14"/>
        <v/>
      </c>
    </row>
    <row r="165" spans="1:14" x14ac:dyDescent="0.25">
      <c r="A165" s="4" t="s">
        <v>72</v>
      </c>
      <c r="B165" s="1"/>
      <c r="C165" s="5" t="s">
        <v>5</v>
      </c>
      <c r="D165" s="13" t="s">
        <v>430</v>
      </c>
      <c r="E165" s="30">
        <v>15</v>
      </c>
      <c r="F165" s="43"/>
      <c r="G165" s="20">
        <f t="shared" si="10"/>
        <v>1</v>
      </c>
      <c r="H165" s="18"/>
      <c r="I165" s="19">
        <f t="shared" si="12"/>
        <v>1</v>
      </c>
      <c r="J165" s="19"/>
      <c r="K165" s="20"/>
      <c r="L165" s="19"/>
      <c r="M165" t="str">
        <f t="shared" si="13"/>
        <v/>
      </c>
      <c r="N165" t="str">
        <f t="shared" si="14"/>
        <v/>
      </c>
    </row>
    <row r="166" spans="1:14" x14ac:dyDescent="0.25">
      <c r="A166" s="4" t="s">
        <v>73</v>
      </c>
      <c r="B166" s="1"/>
      <c r="C166" s="5" t="s">
        <v>5</v>
      </c>
      <c r="D166" s="13"/>
      <c r="E166" s="30"/>
      <c r="F166" s="43"/>
      <c r="G166" s="20">
        <f t="shared" si="10"/>
        <v>1</v>
      </c>
      <c r="H166" s="18"/>
      <c r="I166" s="19">
        <f t="shared" si="12"/>
        <v>1</v>
      </c>
      <c r="J166" s="19"/>
      <c r="K166" s="20"/>
      <c r="L166" s="19"/>
      <c r="M166" t="str">
        <f t="shared" si="13"/>
        <v/>
      </c>
      <c r="N166" t="str">
        <f t="shared" si="14"/>
        <v/>
      </c>
    </row>
    <row r="167" spans="1:14" x14ac:dyDescent="0.25">
      <c r="A167" s="4" t="s">
        <v>13</v>
      </c>
      <c r="B167" s="1"/>
      <c r="C167" s="5" t="s">
        <v>5</v>
      </c>
      <c r="D167" s="13"/>
      <c r="E167" s="30"/>
      <c r="F167" s="43"/>
      <c r="G167" s="20">
        <f t="shared" si="10"/>
        <v>1</v>
      </c>
      <c r="H167" s="18"/>
      <c r="I167" s="19">
        <f t="shared" si="12"/>
        <v>1</v>
      </c>
      <c r="J167" s="19"/>
      <c r="K167" s="20"/>
      <c r="L167" s="19"/>
      <c r="M167" t="str">
        <f t="shared" si="13"/>
        <v/>
      </c>
      <c r="N167" t="str">
        <f t="shared" si="14"/>
        <v/>
      </c>
    </row>
    <row r="168" spans="1:14" x14ac:dyDescent="0.25">
      <c r="A168" s="2" t="s">
        <v>74</v>
      </c>
      <c r="B168" s="21"/>
      <c r="C168" s="3"/>
      <c r="D168" s="14"/>
      <c r="E168" s="31"/>
      <c r="F168" s="45" t="s">
        <v>628</v>
      </c>
      <c r="G168" s="20">
        <f t="shared" si="10"/>
        <v>1</v>
      </c>
      <c r="H168" s="18"/>
      <c r="I168" s="19">
        <f t="shared" si="12"/>
        <v>0</v>
      </c>
      <c r="J168" s="19"/>
      <c r="K168" s="20"/>
      <c r="L168" s="19"/>
      <c r="M168" t="str">
        <f t="shared" si="13"/>
        <v/>
      </c>
      <c r="N168" t="str">
        <f t="shared" si="14"/>
        <v/>
      </c>
    </row>
    <row r="169" spans="1:14" x14ac:dyDescent="0.25">
      <c r="A169" s="2" t="s">
        <v>629</v>
      </c>
      <c r="B169" s="21"/>
      <c r="C169" s="3"/>
      <c r="D169" s="14"/>
      <c r="E169" s="31"/>
      <c r="F169" s="45" t="s">
        <v>630</v>
      </c>
      <c r="G169" s="20">
        <f t="shared" si="10"/>
        <v>1</v>
      </c>
      <c r="H169" s="18"/>
      <c r="I169" s="19">
        <f t="shared" si="12"/>
        <v>0</v>
      </c>
      <c r="J169" s="19"/>
      <c r="K169" s="20"/>
      <c r="L169" s="19"/>
      <c r="M169" t="str">
        <f t="shared" si="13"/>
        <v/>
      </c>
      <c r="N169" t="str">
        <f t="shared" si="14"/>
        <v/>
      </c>
    </row>
    <row r="170" spans="1:14" x14ac:dyDescent="0.25">
      <c r="A170" s="2" t="s">
        <v>466</v>
      </c>
      <c r="B170" s="21"/>
      <c r="C170" s="3"/>
      <c r="D170" s="14"/>
      <c r="E170" s="31"/>
      <c r="F170" s="45" t="s">
        <v>631</v>
      </c>
      <c r="G170" s="20">
        <f t="shared" si="10"/>
        <v>1</v>
      </c>
      <c r="H170" s="18"/>
      <c r="I170" s="19">
        <f t="shared" si="12"/>
        <v>0</v>
      </c>
      <c r="J170" s="19"/>
      <c r="K170" s="20"/>
      <c r="L170" s="19"/>
      <c r="M170" t="str">
        <f t="shared" si="13"/>
        <v/>
      </c>
      <c r="N170" t="str">
        <f t="shared" si="14"/>
        <v/>
      </c>
    </row>
    <row r="171" spans="1:14" x14ac:dyDescent="0.25">
      <c r="A171" s="4" t="s">
        <v>503</v>
      </c>
      <c r="B171" s="1"/>
      <c r="C171" s="5" t="s">
        <v>5</v>
      </c>
      <c r="D171" s="13"/>
      <c r="E171" s="30"/>
      <c r="F171" s="43"/>
      <c r="G171" s="20">
        <f t="shared" si="10"/>
        <v>1</v>
      </c>
      <c r="H171" s="18"/>
      <c r="I171" s="19">
        <f t="shared" si="12"/>
        <v>1</v>
      </c>
      <c r="J171" s="19"/>
      <c r="K171" s="20"/>
      <c r="L171" s="19"/>
      <c r="M171" t="str">
        <f t="shared" si="13"/>
        <v/>
      </c>
      <c r="N171" t="str">
        <f t="shared" si="14"/>
        <v/>
      </c>
    </row>
    <row r="172" spans="1:14" x14ac:dyDescent="0.25">
      <c r="A172" s="4" t="s">
        <v>297</v>
      </c>
      <c r="B172" s="1"/>
      <c r="C172" s="5" t="s">
        <v>5</v>
      </c>
      <c r="D172" s="13" t="s">
        <v>422</v>
      </c>
      <c r="E172" s="30"/>
      <c r="F172" s="43"/>
      <c r="G172" s="20">
        <f t="shared" si="10"/>
        <v>1</v>
      </c>
      <c r="H172" s="18"/>
      <c r="I172" s="19">
        <f t="shared" si="12"/>
        <v>1</v>
      </c>
      <c r="J172" s="19"/>
      <c r="K172" s="20"/>
      <c r="L172" s="19"/>
      <c r="M172" t="str">
        <f t="shared" si="13"/>
        <v/>
      </c>
      <c r="N172" t="str">
        <f t="shared" si="14"/>
        <v/>
      </c>
    </row>
    <row r="173" spans="1:14" x14ac:dyDescent="0.25">
      <c r="A173" s="4" t="s">
        <v>201</v>
      </c>
      <c r="B173" s="1"/>
      <c r="C173" s="5" t="s">
        <v>5</v>
      </c>
      <c r="D173" s="13" t="s">
        <v>523</v>
      </c>
      <c r="E173" s="30"/>
      <c r="F173" s="43"/>
      <c r="G173" s="20">
        <f t="shared" si="10"/>
        <v>1</v>
      </c>
      <c r="H173" s="18"/>
      <c r="I173" s="19">
        <f t="shared" si="12"/>
        <v>1</v>
      </c>
      <c r="J173" s="19"/>
      <c r="K173" s="20"/>
      <c r="L173" s="19"/>
      <c r="M173" t="str">
        <f t="shared" si="13"/>
        <v/>
      </c>
      <c r="N173" t="str">
        <f t="shared" si="14"/>
        <v/>
      </c>
    </row>
    <row r="174" spans="1:14" x14ac:dyDescent="0.25">
      <c r="A174" s="2" t="s">
        <v>75</v>
      </c>
      <c r="B174" s="21"/>
      <c r="C174" s="3"/>
      <c r="D174" s="14"/>
      <c r="E174" s="31"/>
      <c r="F174" s="45" t="s">
        <v>632</v>
      </c>
      <c r="G174" s="20">
        <f t="shared" si="10"/>
        <v>1</v>
      </c>
      <c r="H174" s="18"/>
      <c r="I174" s="19">
        <f t="shared" si="12"/>
        <v>0</v>
      </c>
      <c r="J174" s="19"/>
      <c r="K174" s="20"/>
      <c r="L174" s="19"/>
      <c r="M174" t="str">
        <f t="shared" si="13"/>
        <v/>
      </c>
      <c r="N174" t="str">
        <f t="shared" si="14"/>
        <v/>
      </c>
    </row>
    <row r="175" spans="1:14" x14ac:dyDescent="0.25">
      <c r="A175" s="2" t="s">
        <v>76</v>
      </c>
      <c r="B175" s="21"/>
      <c r="C175" s="3"/>
      <c r="D175" s="14"/>
      <c r="E175" s="31"/>
      <c r="F175" s="45" t="s">
        <v>633</v>
      </c>
      <c r="G175" s="20">
        <f t="shared" si="10"/>
        <v>1</v>
      </c>
      <c r="H175" s="18"/>
      <c r="I175" s="19">
        <f t="shared" si="12"/>
        <v>0</v>
      </c>
      <c r="J175" s="19"/>
      <c r="K175" s="20"/>
      <c r="L175" s="19"/>
      <c r="M175" t="str">
        <f t="shared" si="13"/>
        <v/>
      </c>
      <c r="N175" t="str">
        <f t="shared" si="14"/>
        <v/>
      </c>
    </row>
    <row r="176" spans="1:14" x14ac:dyDescent="0.25">
      <c r="A176" s="2" t="s">
        <v>77</v>
      </c>
      <c r="B176" s="21"/>
      <c r="C176" s="3"/>
      <c r="D176" s="14"/>
      <c r="E176" s="31"/>
      <c r="F176" s="45" t="s">
        <v>634</v>
      </c>
      <c r="G176" s="20">
        <f t="shared" si="10"/>
        <v>1</v>
      </c>
      <c r="H176" s="18"/>
      <c r="I176" s="19">
        <f t="shared" si="12"/>
        <v>0</v>
      </c>
      <c r="J176" s="19"/>
      <c r="K176" s="20"/>
      <c r="L176" s="19"/>
      <c r="M176" t="str">
        <f t="shared" si="13"/>
        <v/>
      </c>
      <c r="N176" t="str">
        <f t="shared" si="14"/>
        <v/>
      </c>
    </row>
    <row r="177" spans="1:14" x14ac:dyDescent="0.25">
      <c r="A177" s="2" t="s">
        <v>354</v>
      </c>
      <c r="B177" s="21"/>
      <c r="C177" s="3"/>
      <c r="D177" s="14"/>
      <c r="E177" s="31"/>
      <c r="F177" s="45" t="s">
        <v>635</v>
      </c>
      <c r="G177" s="20">
        <f t="shared" si="10"/>
        <v>1</v>
      </c>
      <c r="H177" s="18"/>
      <c r="I177" s="19">
        <f t="shared" si="12"/>
        <v>0</v>
      </c>
      <c r="J177" s="19"/>
      <c r="K177" s="20"/>
      <c r="L177" s="19"/>
      <c r="M177" t="str">
        <f t="shared" si="13"/>
        <v/>
      </c>
      <c r="N177" t="str">
        <f t="shared" si="14"/>
        <v/>
      </c>
    </row>
    <row r="178" spans="1:14" x14ac:dyDescent="0.25">
      <c r="A178" s="4" t="s">
        <v>352</v>
      </c>
      <c r="B178" s="1"/>
      <c r="C178" s="5" t="s">
        <v>5</v>
      </c>
      <c r="D178" s="13" t="s">
        <v>422</v>
      </c>
      <c r="E178" s="30"/>
      <c r="F178" s="43"/>
      <c r="G178" s="20">
        <f t="shared" si="10"/>
        <v>1</v>
      </c>
      <c r="H178" s="18"/>
      <c r="I178" s="19">
        <f t="shared" si="12"/>
        <v>1</v>
      </c>
      <c r="J178" s="19"/>
      <c r="K178" s="20"/>
      <c r="L178" s="19"/>
      <c r="M178" t="str">
        <f t="shared" si="13"/>
        <v/>
      </c>
      <c r="N178" t="str">
        <f t="shared" si="14"/>
        <v/>
      </c>
    </row>
    <row r="179" spans="1:14" x14ac:dyDescent="0.25">
      <c r="A179" s="2" t="s">
        <v>78</v>
      </c>
      <c r="B179" s="21"/>
      <c r="C179" s="3"/>
      <c r="D179" s="14"/>
      <c r="E179" s="31"/>
      <c r="F179" s="45" t="s">
        <v>636</v>
      </c>
      <c r="G179" s="20">
        <f t="shared" si="10"/>
        <v>1</v>
      </c>
      <c r="H179" s="18"/>
      <c r="I179" s="19">
        <f t="shared" si="12"/>
        <v>0</v>
      </c>
      <c r="J179" s="19"/>
      <c r="K179" s="20"/>
      <c r="L179" s="19"/>
      <c r="M179" t="str">
        <f t="shared" si="13"/>
        <v/>
      </c>
      <c r="N179" t="str">
        <f t="shared" si="14"/>
        <v/>
      </c>
    </row>
    <row r="180" spans="1:14" x14ac:dyDescent="0.25">
      <c r="A180" s="4" t="s">
        <v>79</v>
      </c>
      <c r="B180" s="1"/>
      <c r="C180" s="5" t="s">
        <v>5</v>
      </c>
      <c r="D180" s="13"/>
      <c r="E180" s="30"/>
      <c r="F180" s="43"/>
      <c r="G180" s="20">
        <f t="shared" si="10"/>
        <v>1</v>
      </c>
      <c r="H180" s="18"/>
      <c r="I180" s="19">
        <f t="shared" si="12"/>
        <v>1</v>
      </c>
      <c r="J180" s="19"/>
      <c r="K180" s="20"/>
      <c r="L180" s="19"/>
      <c r="M180" t="str">
        <f t="shared" si="13"/>
        <v/>
      </c>
      <c r="N180" t="str">
        <f t="shared" si="14"/>
        <v/>
      </c>
    </row>
    <row r="181" spans="1:14" x14ac:dyDescent="0.25">
      <c r="A181" s="2" t="s">
        <v>330</v>
      </c>
      <c r="B181" s="21"/>
      <c r="C181" s="3"/>
      <c r="D181" s="14"/>
      <c r="E181" s="31"/>
      <c r="F181" s="45" t="s">
        <v>637</v>
      </c>
      <c r="G181" s="20">
        <f t="shared" si="10"/>
        <v>1</v>
      </c>
      <c r="H181" s="18"/>
      <c r="I181" s="19">
        <f t="shared" si="12"/>
        <v>0</v>
      </c>
      <c r="J181" s="19"/>
      <c r="K181" s="20"/>
      <c r="L181" s="19"/>
      <c r="M181" t="str">
        <f t="shared" si="13"/>
        <v/>
      </c>
      <c r="N181" t="str">
        <f t="shared" si="14"/>
        <v/>
      </c>
    </row>
    <row r="182" spans="1:14" x14ac:dyDescent="0.25">
      <c r="A182" s="2" t="s">
        <v>323</v>
      </c>
      <c r="B182" s="21"/>
      <c r="C182" s="3"/>
      <c r="D182" s="14"/>
      <c r="E182" s="31"/>
      <c r="F182" s="45" t="s">
        <v>638</v>
      </c>
      <c r="G182" s="20">
        <f t="shared" si="10"/>
        <v>1</v>
      </c>
      <c r="H182" s="18"/>
      <c r="I182" s="19">
        <f t="shared" si="12"/>
        <v>0</v>
      </c>
      <c r="J182" s="19"/>
      <c r="K182" s="20"/>
      <c r="L182" s="19"/>
      <c r="M182" t="str">
        <f t="shared" si="13"/>
        <v/>
      </c>
      <c r="N182" t="str">
        <f t="shared" si="14"/>
        <v/>
      </c>
    </row>
    <row r="183" spans="1:14" x14ac:dyDescent="0.25">
      <c r="A183" s="4" t="s">
        <v>240</v>
      </c>
      <c r="B183" s="1"/>
      <c r="C183" s="5" t="s">
        <v>5</v>
      </c>
      <c r="D183" s="13"/>
      <c r="E183" s="30"/>
      <c r="F183" s="43"/>
      <c r="G183" s="20">
        <f t="shared" si="10"/>
        <v>1</v>
      </c>
      <c r="H183" s="18"/>
      <c r="I183" s="19">
        <f t="shared" si="12"/>
        <v>1</v>
      </c>
      <c r="J183" s="19"/>
      <c r="K183" s="20"/>
      <c r="L183" s="19"/>
      <c r="M183" t="str">
        <f t="shared" si="13"/>
        <v/>
      </c>
      <c r="N183" t="str">
        <f t="shared" si="14"/>
        <v/>
      </c>
    </row>
    <row r="184" spans="1:14" x14ac:dyDescent="0.25">
      <c r="A184" s="4" t="s">
        <v>202</v>
      </c>
      <c r="B184" s="1"/>
      <c r="C184" s="5" t="s">
        <v>5</v>
      </c>
      <c r="D184" s="13" t="s">
        <v>430</v>
      </c>
      <c r="E184" s="30">
        <v>19</v>
      </c>
      <c r="F184" s="43"/>
      <c r="G184" s="20">
        <f t="shared" si="10"/>
        <v>1</v>
      </c>
      <c r="H184" s="18"/>
      <c r="I184" s="19">
        <f t="shared" si="12"/>
        <v>1</v>
      </c>
      <c r="J184" s="19"/>
      <c r="K184" s="20"/>
      <c r="L184" s="19"/>
      <c r="M184" t="str">
        <f t="shared" si="13"/>
        <v/>
      </c>
      <c r="N184" t="str">
        <f t="shared" si="14"/>
        <v/>
      </c>
    </row>
    <row r="185" spans="1:14" x14ac:dyDescent="0.25">
      <c r="A185" s="2" t="s">
        <v>192</v>
      </c>
      <c r="B185" s="21"/>
      <c r="C185" s="3"/>
      <c r="D185" s="14"/>
      <c r="E185" s="31"/>
      <c r="F185" s="45" t="s">
        <v>639</v>
      </c>
      <c r="G185" s="20">
        <f t="shared" si="10"/>
        <v>1</v>
      </c>
      <c r="H185" s="18"/>
      <c r="I185" s="19">
        <f t="shared" si="12"/>
        <v>0</v>
      </c>
      <c r="J185" s="19"/>
      <c r="K185" s="20"/>
      <c r="L185" s="19"/>
      <c r="M185" t="str">
        <f t="shared" si="13"/>
        <v/>
      </c>
      <c r="N185" t="str">
        <f t="shared" si="14"/>
        <v/>
      </c>
    </row>
    <row r="186" spans="1:14" x14ac:dyDescent="0.25">
      <c r="A186" s="4" t="s">
        <v>225</v>
      </c>
      <c r="B186" s="1"/>
      <c r="C186" s="5" t="s">
        <v>5</v>
      </c>
      <c r="D186" s="13"/>
      <c r="E186" s="30"/>
      <c r="F186" s="43"/>
      <c r="G186" s="20">
        <f t="shared" si="10"/>
        <v>1</v>
      </c>
      <c r="H186" s="18"/>
      <c r="I186" s="19">
        <f t="shared" si="12"/>
        <v>1</v>
      </c>
      <c r="J186" s="19"/>
      <c r="K186" s="20"/>
      <c r="L186" s="19"/>
      <c r="M186" t="str">
        <f t="shared" si="13"/>
        <v/>
      </c>
      <c r="N186" t="str">
        <f t="shared" si="14"/>
        <v/>
      </c>
    </row>
    <row r="187" spans="1:14" x14ac:dyDescent="0.25">
      <c r="A187" s="2" t="s">
        <v>80</v>
      </c>
      <c r="B187" s="21"/>
      <c r="C187" s="3"/>
      <c r="D187" s="14" t="s">
        <v>307</v>
      </c>
      <c r="E187" s="31"/>
      <c r="F187" s="45" t="s">
        <v>640</v>
      </c>
      <c r="G187" s="20">
        <f t="shared" si="10"/>
        <v>1</v>
      </c>
      <c r="H187" s="18"/>
      <c r="I187" s="19">
        <f t="shared" si="12"/>
        <v>0</v>
      </c>
      <c r="J187" s="19"/>
      <c r="K187" s="20"/>
      <c r="L187" s="19"/>
      <c r="M187" t="str">
        <f t="shared" si="13"/>
        <v/>
      </c>
      <c r="N187" t="str">
        <f t="shared" si="14"/>
        <v/>
      </c>
    </row>
    <row r="188" spans="1:14" x14ac:dyDescent="0.25">
      <c r="A188" s="4" t="s">
        <v>175</v>
      </c>
      <c r="B188" s="1"/>
      <c r="C188" s="5" t="s">
        <v>5</v>
      </c>
      <c r="D188" s="13"/>
      <c r="E188" s="30"/>
      <c r="F188" s="43"/>
      <c r="G188" s="20">
        <f t="shared" si="10"/>
        <v>1</v>
      </c>
      <c r="H188" s="18"/>
      <c r="I188" s="19">
        <f t="shared" si="12"/>
        <v>1</v>
      </c>
      <c r="J188" s="19"/>
      <c r="K188" s="20"/>
      <c r="L188" s="19"/>
      <c r="M188" t="str">
        <f t="shared" si="13"/>
        <v/>
      </c>
      <c r="N188" t="str">
        <f t="shared" si="14"/>
        <v/>
      </c>
    </row>
    <row r="189" spans="1:14" x14ac:dyDescent="0.25">
      <c r="A189" s="4" t="s">
        <v>281</v>
      </c>
      <c r="B189" s="1"/>
      <c r="C189" s="5" t="s">
        <v>5</v>
      </c>
      <c r="D189" s="13" t="s">
        <v>488</v>
      </c>
      <c r="E189" s="30"/>
      <c r="F189" s="43"/>
      <c r="G189" s="20">
        <f t="shared" si="10"/>
        <v>1</v>
      </c>
      <c r="H189" s="18"/>
      <c r="I189" s="19">
        <f t="shared" si="12"/>
        <v>1</v>
      </c>
      <c r="J189" s="19"/>
      <c r="K189" s="20"/>
      <c r="L189" s="19"/>
      <c r="M189" t="str">
        <f t="shared" si="13"/>
        <v/>
      </c>
      <c r="N189" t="str">
        <f t="shared" si="14"/>
        <v/>
      </c>
    </row>
    <row r="190" spans="1:14" x14ac:dyDescent="0.25">
      <c r="A190" s="4" t="s">
        <v>282</v>
      </c>
      <c r="B190" s="1"/>
      <c r="C190" s="5" t="s">
        <v>5</v>
      </c>
      <c r="D190" s="13"/>
      <c r="E190" s="30"/>
      <c r="F190" s="43"/>
      <c r="G190" s="20">
        <f t="shared" si="10"/>
        <v>1</v>
      </c>
      <c r="H190" s="18"/>
      <c r="I190" s="19">
        <f t="shared" si="12"/>
        <v>1</v>
      </c>
      <c r="J190" s="19"/>
      <c r="K190" s="20"/>
      <c r="L190" s="19"/>
      <c r="M190" t="str">
        <f t="shared" si="13"/>
        <v/>
      </c>
      <c r="N190" t="str">
        <f t="shared" si="14"/>
        <v/>
      </c>
    </row>
    <row r="191" spans="1:14" x14ac:dyDescent="0.25">
      <c r="A191" s="4" t="s">
        <v>81</v>
      </c>
      <c r="B191" s="1"/>
      <c r="C191" s="5" t="s">
        <v>5</v>
      </c>
      <c r="D191" s="13" t="s">
        <v>493</v>
      </c>
      <c r="E191" s="30">
        <v>10.1</v>
      </c>
      <c r="F191" s="46"/>
      <c r="G191" s="20">
        <f t="shared" si="10"/>
        <v>1</v>
      </c>
      <c r="H191" s="18"/>
      <c r="I191" s="19">
        <f t="shared" si="12"/>
        <v>1</v>
      </c>
      <c r="J191" s="19"/>
      <c r="K191" s="20"/>
      <c r="L191" s="19"/>
      <c r="M191" t="str">
        <f t="shared" si="13"/>
        <v/>
      </c>
      <c r="N191" t="str">
        <f t="shared" si="14"/>
        <v/>
      </c>
    </row>
    <row r="192" spans="1:14" x14ac:dyDescent="0.25">
      <c r="A192" s="4" t="s">
        <v>308</v>
      </c>
      <c r="B192" s="1"/>
      <c r="C192" s="5" t="s">
        <v>5</v>
      </c>
      <c r="D192" s="13"/>
      <c r="E192" s="30"/>
      <c r="F192" s="43"/>
      <c r="G192" s="20">
        <f t="shared" si="10"/>
        <v>1</v>
      </c>
      <c r="H192" s="18"/>
      <c r="I192" s="19">
        <f t="shared" si="12"/>
        <v>1</v>
      </c>
      <c r="J192" s="19"/>
      <c r="K192" s="20"/>
      <c r="L192" s="19"/>
      <c r="M192" t="str">
        <f t="shared" si="13"/>
        <v/>
      </c>
      <c r="N192" t="str">
        <f t="shared" si="14"/>
        <v/>
      </c>
    </row>
    <row r="193" spans="1:14" x14ac:dyDescent="0.25">
      <c r="A193" s="2" t="s">
        <v>642</v>
      </c>
      <c r="B193" s="21"/>
      <c r="C193" s="3"/>
      <c r="D193" s="14"/>
      <c r="E193" s="31"/>
      <c r="F193" s="45" t="s">
        <v>641</v>
      </c>
      <c r="G193" s="20">
        <f t="shared" si="10"/>
        <v>1</v>
      </c>
      <c r="H193" s="18"/>
      <c r="I193" s="19">
        <f t="shared" si="12"/>
        <v>0</v>
      </c>
      <c r="J193" s="19"/>
      <c r="K193" s="20"/>
      <c r="L193" s="19"/>
      <c r="M193" t="str">
        <f t="shared" si="13"/>
        <v/>
      </c>
      <c r="N193" t="str">
        <f t="shared" si="14"/>
        <v/>
      </c>
    </row>
    <row r="194" spans="1:14" x14ac:dyDescent="0.25">
      <c r="A194" s="4" t="s">
        <v>477</v>
      </c>
      <c r="B194" s="1"/>
      <c r="C194" s="5" t="s">
        <v>5</v>
      </c>
      <c r="D194" s="13" t="s">
        <v>517</v>
      </c>
      <c r="E194" s="30">
        <v>8</v>
      </c>
      <c r="F194" s="43"/>
      <c r="G194" s="20">
        <f t="shared" si="10"/>
        <v>1</v>
      </c>
      <c r="H194" s="18"/>
      <c r="I194" s="19">
        <f t="shared" si="12"/>
        <v>1</v>
      </c>
      <c r="J194" s="19"/>
      <c r="K194" s="20"/>
      <c r="L194" s="19"/>
      <c r="M194" t="str">
        <f t="shared" si="13"/>
        <v/>
      </c>
      <c r="N194" t="str">
        <f t="shared" si="14"/>
        <v/>
      </c>
    </row>
    <row r="195" spans="1:14" x14ac:dyDescent="0.25">
      <c r="A195" s="4" t="s">
        <v>82</v>
      </c>
      <c r="B195" s="1"/>
      <c r="C195" s="5" t="s">
        <v>5</v>
      </c>
      <c r="D195" s="13" t="s">
        <v>422</v>
      </c>
      <c r="E195" s="30"/>
      <c r="F195" s="43"/>
      <c r="G195" s="20">
        <f t="shared" si="10"/>
        <v>1</v>
      </c>
      <c r="H195" s="18"/>
      <c r="I195" s="19">
        <f t="shared" si="12"/>
        <v>1</v>
      </c>
      <c r="J195" s="19"/>
      <c r="K195" s="20"/>
      <c r="L195" s="19"/>
      <c r="M195" t="str">
        <f t="shared" si="13"/>
        <v/>
      </c>
      <c r="N195" t="str">
        <f t="shared" si="14"/>
        <v/>
      </c>
    </row>
    <row r="196" spans="1:14" x14ac:dyDescent="0.25">
      <c r="A196" s="4" t="s">
        <v>83</v>
      </c>
      <c r="B196" s="1"/>
      <c r="C196" s="5" t="s">
        <v>5</v>
      </c>
      <c r="D196" s="13" t="s">
        <v>430</v>
      </c>
      <c r="E196" s="30">
        <v>8</v>
      </c>
      <c r="F196" s="46"/>
      <c r="G196" s="20">
        <f t="shared" si="10"/>
        <v>1</v>
      </c>
      <c r="H196" s="18"/>
      <c r="I196" s="19">
        <f t="shared" si="12"/>
        <v>1</v>
      </c>
      <c r="J196" s="19"/>
      <c r="K196" s="20"/>
      <c r="L196" s="19"/>
      <c r="M196" t="str">
        <f t="shared" si="13"/>
        <v/>
      </c>
      <c r="N196" t="str">
        <f t="shared" si="14"/>
        <v/>
      </c>
    </row>
    <row r="197" spans="1:14" x14ac:dyDescent="0.25">
      <c r="A197" s="4" t="s">
        <v>19</v>
      </c>
      <c r="B197" s="1"/>
      <c r="C197" s="5" t="s">
        <v>5</v>
      </c>
      <c r="D197" s="13"/>
      <c r="E197" s="30"/>
      <c r="F197" s="43"/>
      <c r="G197" s="20">
        <f t="shared" si="10"/>
        <v>1</v>
      </c>
      <c r="H197" s="18"/>
      <c r="I197" s="19">
        <f t="shared" si="12"/>
        <v>1</v>
      </c>
      <c r="J197" s="19"/>
      <c r="K197" s="20"/>
      <c r="L197" s="19"/>
      <c r="M197" t="str">
        <f t="shared" si="13"/>
        <v/>
      </c>
      <c r="N197" t="str">
        <f t="shared" si="14"/>
        <v/>
      </c>
    </row>
    <row r="198" spans="1:14" x14ac:dyDescent="0.25">
      <c r="A198" s="4" t="s">
        <v>20</v>
      </c>
      <c r="B198" s="1"/>
      <c r="C198" s="5" t="s">
        <v>5</v>
      </c>
      <c r="D198" s="13"/>
      <c r="E198" s="30"/>
      <c r="F198" s="43"/>
      <c r="G198" s="20">
        <f t="shared" si="10"/>
        <v>1</v>
      </c>
      <c r="H198" s="18"/>
      <c r="I198" s="19">
        <f t="shared" si="12"/>
        <v>1</v>
      </c>
      <c r="J198" s="19"/>
      <c r="K198" s="20"/>
      <c r="L198" s="19"/>
      <c r="M198" t="str">
        <f t="shared" si="13"/>
        <v/>
      </c>
      <c r="N198" t="str">
        <f t="shared" si="14"/>
        <v/>
      </c>
    </row>
    <row r="199" spans="1:14" x14ac:dyDescent="0.25">
      <c r="A199" s="4" t="s">
        <v>21</v>
      </c>
      <c r="B199" s="1"/>
      <c r="C199" s="5" t="s">
        <v>5</v>
      </c>
      <c r="D199" s="13"/>
      <c r="E199" s="30"/>
      <c r="F199" s="43"/>
      <c r="G199" s="20">
        <f t="shared" si="10"/>
        <v>1</v>
      </c>
      <c r="H199" s="18"/>
      <c r="I199" s="19">
        <f t="shared" si="12"/>
        <v>1</v>
      </c>
      <c r="J199" s="19"/>
      <c r="K199" s="20"/>
      <c r="L199" s="19"/>
      <c r="M199" t="str">
        <f t="shared" si="13"/>
        <v/>
      </c>
      <c r="N199" t="str">
        <f t="shared" si="14"/>
        <v/>
      </c>
    </row>
    <row r="200" spans="1:14" x14ac:dyDescent="0.25">
      <c r="A200" s="4" t="s">
        <v>84</v>
      </c>
      <c r="B200" s="1"/>
      <c r="C200" s="5" t="s">
        <v>5</v>
      </c>
      <c r="D200" s="13" t="s">
        <v>430</v>
      </c>
      <c r="E200" s="30">
        <v>12</v>
      </c>
      <c r="F200" s="43"/>
      <c r="G200" s="20">
        <f t="shared" ref="G200:G265" si="15">COUNTA(A200)</f>
        <v>1</v>
      </c>
      <c r="H200" s="18"/>
      <c r="I200" s="19">
        <f t="shared" ref="I200:I265" si="16">COUNTA(C200)</f>
        <v>1</v>
      </c>
      <c r="J200" s="19"/>
      <c r="K200" s="20"/>
      <c r="L200" s="19"/>
      <c r="M200" t="str">
        <f t="shared" si="13"/>
        <v/>
      </c>
      <c r="N200" t="str">
        <f t="shared" si="14"/>
        <v/>
      </c>
    </row>
    <row r="201" spans="1:14" x14ac:dyDescent="0.25">
      <c r="A201" s="4" t="s">
        <v>85</v>
      </c>
      <c r="B201" s="1"/>
      <c r="C201" s="5" t="s">
        <v>5</v>
      </c>
      <c r="D201" s="13" t="s">
        <v>512</v>
      </c>
      <c r="E201" s="30"/>
      <c r="F201" s="43"/>
      <c r="G201" s="20">
        <f t="shared" si="15"/>
        <v>1</v>
      </c>
      <c r="H201" s="18"/>
      <c r="I201" s="19">
        <f t="shared" si="16"/>
        <v>1</v>
      </c>
      <c r="J201" s="19"/>
      <c r="K201" s="20"/>
      <c r="L201" s="19"/>
      <c r="M201" t="str">
        <f t="shared" si="13"/>
        <v/>
      </c>
      <c r="N201" t="str">
        <f t="shared" si="14"/>
        <v/>
      </c>
    </row>
    <row r="202" spans="1:14" x14ac:dyDescent="0.25">
      <c r="A202" s="4" t="s">
        <v>271</v>
      </c>
      <c r="B202" s="1"/>
      <c r="C202" s="5" t="s">
        <v>5</v>
      </c>
      <c r="D202" s="13" t="s">
        <v>422</v>
      </c>
      <c r="E202" s="30"/>
      <c r="F202" s="43"/>
      <c r="G202" s="20">
        <f t="shared" si="15"/>
        <v>1</v>
      </c>
      <c r="H202" s="18"/>
      <c r="I202" s="19">
        <f t="shared" si="16"/>
        <v>1</v>
      </c>
      <c r="J202" s="19"/>
      <c r="K202" s="20"/>
      <c r="L202" s="19"/>
      <c r="M202" t="str">
        <f t="shared" si="13"/>
        <v/>
      </c>
      <c r="N202" t="str">
        <f t="shared" si="14"/>
        <v/>
      </c>
    </row>
    <row r="203" spans="1:14" x14ac:dyDescent="0.25">
      <c r="A203" s="4" t="s">
        <v>16</v>
      </c>
      <c r="B203" s="1"/>
      <c r="C203" s="5" t="s">
        <v>5</v>
      </c>
      <c r="D203" s="13" t="s">
        <v>515</v>
      </c>
      <c r="E203" s="30">
        <v>19</v>
      </c>
      <c r="F203" s="43"/>
      <c r="G203" s="20">
        <f t="shared" si="15"/>
        <v>1</v>
      </c>
      <c r="H203" s="18"/>
      <c r="I203" s="19">
        <f t="shared" si="16"/>
        <v>1</v>
      </c>
      <c r="J203" s="19"/>
      <c r="K203" s="20"/>
      <c r="L203" s="19"/>
      <c r="M203" t="str">
        <f t="shared" si="13"/>
        <v/>
      </c>
      <c r="N203" t="str">
        <f t="shared" si="14"/>
        <v/>
      </c>
    </row>
    <row r="204" spans="1:14" x14ac:dyDescent="0.25">
      <c r="A204" s="4" t="s">
        <v>86</v>
      </c>
      <c r="B204" s="1"/>
      <c r="C204" s="5" t="s">
        <v>5</v>
      </c>
      <c r="D204" s="13"/>
      <c r="E204" s="30"/>
      <c r="F204" s="43"/>
      <c r="G204" s="20">
        <f t="shared" si="15"/>
        <v>1</v>
      </c>
      <c r="H204" s="18"/>
      <c r="I204" s="19">
        <f t="shared" si="16"/>
        <v>1</v>
      </c>
      <c r="J204" s="19"/>
      <c r="K204" s="20"/>
      <c r="L204" s="19"/>
      <c r="M204" t="str">
        <f t="shared" si="13"/>
        <v/>
      </c>
      <c r="N204" t="str">
        <f t="shared" si="14"/>
        <v/>
      </c>
    </row>
    <row r="205" spans="1:14" x14ac:dyDescent="0.25">
      <c r="A205" s="2" t="s">
        <v>333</v>
      </c>
      <c r="B205" s="21"/>
      <c r="C205" s="3"/>
      <c r="D205" s="14"/>
      <c r="E205" s="31"/>
      <c r="F205" s="45" t="s">
        <v>643</v>
      </c>
      <c r="G205" s="20">
        <f t="shared" si="15"/>
        <v>1</v>
      </c>
      <c r="H205" s="18"/>
      <c r="I205" s="19">
        <f t="shared" si="16"/>
        <v>0</v>
      </c>
      <c r="J205" s="19"/>
      <c r="K205" s="20"/>
      <c r="L205" s="19"/>
      <c r="M205" t="str">
        <f t="shared" si="13"/>
        <v/>
      </c>
      <c r="N205" t="str">
        <f t="shared" si="14"/>
        <v/>
      </c>
    </row>
    <row r="206" spans="1:14" x14ac:dyDescent="0.25">
      <c r="A206" s="4" t="s">
        <v>87</v>
      </c>
      <c r="B206" s="1"/>
      <c r="C206" s="5" t="s">
        <v>5</v>
      </c>
      <c r="D206" s="13"/>
      <c r="E206" s="30"/>
      <c r="F206" s="43"/>
      <c r="G206" s="20">
        <f t="shared" si="15"/>
        <v>1</v>
      </c>
      <c r="H206" s="18"/>
      <c r="I206" s="19">
        <f t="shared" si="16"/>
        <v>1</v>
      </c>
      <c r="J206" s="19"/>
      <c r="K206" s="20"/>
      <c r="L206" s="19"/>
      <c r="M206" t="str">
        <f t="shared" si="13"/>
        <v/>
      </c>
      <c r="N206" t="str">
        <f t="shared" si="14"/>
        <v/>
      </c>
    </row>
    <row r="207" spans="1:14" x14ac:dyDescent="0.25">
      <c r="A207" s="4" t="s">
        <v>88</v>
      </c>
      <c r="B207" s="1"/>
      <c r="C207" s="5" t="s">
        <v>5</v>
      </c>
      <c r="D207" s="13"/>
      <c r="E207" s="30"/>
      <c r="F207" s="43"/>
      <c r="G207" s="20">
        <f t="shared" si="15"/>
        <v>1</v>
      </c>
      <c r="H207" s="18"/>
      <c r="I207" s="19">
        <f t="shared" si="16"/>
        <v>1</v>
      </c>
      <c r="J207" s="19"/>
      <c r="K207" s="20"/>
      <c r="L207" s="19"/>
      <c r="M207" t="str">
        <f t="shared" si="13"/>
        <v/>
      </c>
      <c r="N207" t="str">
        <f t="shared" si="14"/>
        <v/>
      </c>
    </row>
    <row r="208" spans="1:14" x14ac:dyDescent="0.25">
      <c r="A208" s="4" t="s">
        <v>312</v>
      </c>
      <c r="B208" s="1"/>
      <c r="C208" s="5" t="s">
        <v>5</v>
      </c>
      <c r="D208" s="13"/>
      <c r="E208" s="30"/>
      <c r="F208" s="46"/>
      <c r="G208" s="20">
        <f t="shared" si="15"/>
        <v>1</v>
      </c>
      <c r="H208" s="18"/>
      <c r="I208" s="19">
        <f t="shared" si="16"/>
        <v>1</v>
      </c>
      <c r="J208" s="19"/>
      <c r="K208" s="20"/>
      <c r="L208" s="19"/>
      <c r="M208" t="str">
        <f t="shared" ref="M208:M275" si="17">IF(B208=1,E208,"")</f>
        <v/>
      </c>
      <c r="N208" t="str">
        <f t="shared" ref="N208:N275" si="18">IF(B208=2,E208,"")</f>
        <v/>
      </c>
    </row>
    <row r="209" spans="1:14" x14ac:dyDescent="0.25">
      <c r="A209" s="4" t="s">
        <v>193</v>
      </c>
      <c r="B209" s="1"/>
      <c r="C209" s="5" t="s">
        <v>5</v>
      </c>
      <c r="D209" s="13"/>
      <c r="E209" s="30"/>
      <c r="F209" s="43"/>
      <c r="G209" s="20">
        <f t="shared" si="15"/>
        <v>1</v>
      </c>
      <c r="H209" s="18"/>
      <c r="I209" s="19">
        <f t="shared" si="16"/>
        <v>1</v>
      </c>
      <c r="J209" s="19"/>
      <c r="K209" s="20"/>
      <c r="L209" s="19"/>
      <c r="M209" t="str">
        <f t="shared" si="17"/>
        <v/>
      </c>
      <c r="N209" t="str">
        <f t="shared" si="18"/>
        <v/>
      </c>
    </row>
    <row r="210" spans="1:14" x14ac:dyDescent="0.25">
      <c r="A210" s="4" t="s">
        <v>259</v>
      </c>
      <c r="B210" s="1"/>
      <c r="C210" s="5" t="s">
        <v>5</v>
      </c>
      <c r="D210" s="13" t="s">
        <v>543</v>
      </c>
      <c r="E210" s="30"/>
      <c r="F210" s="43"/>
      <c r="G210" s="20">
        <f t="shared" si="15"/>
        <v>1</v>
      </c>
      <c r="H210" s="18"/>
      <c r="I210" s="19">
        <f t="shared" si="16"/>
        <v>1</v>
      </c>
      <c r="J210" s="19"/>
      <c r="K210" s="20"/>
      <c r="L210" s="19"/>
      <c r="M210" t="str">
        <f t="shared" si="17"/>
        <v/>
      </c>
      <c r="N210" t="str">
        <f t="shared" si="18"/>
        <v/>
      </c>
    </row>
    <row r="211" spans="1:14" x14ac:dyDescent="0.25">
      <c r="A211" s="4" t="s">
        <v>378</v>
      </c>
      <c r="B211" s="1"/>
      <c r="C211" s="5" t="s">
        <v>5</v>
      </c>
      <c r="D211" s="13"/>
      <c r="E211" s="30"/>
      <c r="F211" s="43"/>
      <c r="G211" s="20">
        <f t="shared" si="15"/>
        <v>1</v>
      </c>
      <c r="H211" s="18"/>
      <c r="I211" s="19">
        <f t="shared" si="16"/>
        <v>1</v>
      </c>
      <c r="J211" s="19"/>
      <c r="K211" s="20"/>
      <c r="L211" s="19"/>
      <c r="M211" t="str">
        <f t="shared" si="17"/>
        <v/>
      </c>
      <c r="N211" t="str">
        <f t="shared" si="18"/>
        <v/>
      </c>
    </row>
    <row r="212" spans="1:14" x14ac:dyDescent="0.25">
      <c r="A212" s="4" t="s">
        <v>176</v>
      </c>
      <c r="B212" s="1"/>
      <c r="C212" s="5" t="s">
        <v>5</v>
      </c>
      <c r="D212" s="13"/>
      <c r="E212" s="30"/>
      <c r="F212" s="43"/>
      <c r="G212" s="20">
        <f t="shared" si="15"/>
        <v>1</v>
      </c>
      <c r="H212" s="18"/>
      <c r="I212" s="19">
        <f t="shared" si="16"/>
        <v>1</v>
      </c>
      <c r="J212" s="19"/>
      <c r="K212" s="20"/>
      <c r="L212" s="19"/>
      <c r="M212" t="str">
        <f t="shared" si="17"/>
        <v/>
      </c>
      <c r="N212" t="str">
        <f t="shared" si="18"/>
        <v/>
      </c>
    </row>
    <row r="213" spans="1:14" x14ac:dyDescent="0.25">
      <c r="A213" s="2" t="s">
        <v>89</v>
      </c>
      <c r="B213" s="21"/>
      <c r="C213" s="3"/>
      <c r="D213" s="14"/>
      <c r="E213" s="31"/>
      <c r="F213" s="45" t="s">
        <v>644</v>
      </c>
      <c r="G213" s="20">
        <f t="shared" si="15"/>
        <v>1</v>
      </c>
      <c r="H213" s="18"/>
      <c r="I213" s="19">
        <f t="shared" si="16"/>
        <v>0</v>
      </c>
      <c r="J213" s="19"/>
      <c r="K213" s="20"/>
      <c r="L213" s="19"/>
      <c r="M213" t="str">
        <f t="shared" si="17"/>
        <v/>
      </c>
      <c r="N213" t="str">
        <f t="shared" si="18"/>
        <v/>
      </c>
    </row>
    <row r="214" spans="1:14" x14ac:dyDescent="0.25">
      <c r="A214" s="4" t="s">
        <v>452</v>
      </c>
      <c r="B214" s="1"/>
      <c r="C214" s="5" t="s">
        <v>5</v>
      </c>
      <c r="D214" s="13" t="s">
        <v>482</v>
      </c>
      <c r="E214" s="30">
        <v>25</v>
      </c>
      <c r="F214" s="43"/>
      <c r="G214" s="20">
        <f t="shared" si="15"/>
        <v>1</v>
      </c>
      <c r="H214" s="18"/>
      <c r="I214" s="19">
        <f t="shared" si="16"/>
        <v>1</v>
      </c>
      <c r="J214" s="19"/>
      <c r="K214" s="20"/>
      <c r="L214" s="19"/>
      <c r="M214" t="str">
        <f t="shared" si="17"/>
        <v/>
      </c>
      <c r="N214" t="str">
        <f t="shared" si="18"/>
        <v/>
      </c>
    </row>
    <row r="215" spans="1:14" x14ac:dyDescent="0.25">
      <c r="A215" s="4" t="s">
        <v>90</v>
      </c>
      <c r="B215" s="1"/>
      <c r="C215" s="5" t="s">
        <v>5</v>
      </c>
      <c r="D215" s="13" t="s">
        <v>797</v>
      </c>
      <c r="E215" s="30"/>
      <c r="F215" s="46"/>
      <c r="G215" s="20">
        <f t="shared" si="15"/>
        <v>1</v>
      </c>
      <c r="H215" s="18"/>
      <c r="I215" s="19">
        <f t="shared" si="16"/>
        <v>1</v>
      </c>
      <c r="J215" s="19"/>
      <c r="K215" s="20"/>
      <c r="L215" s="19"/>
      <c r="M215" t="str">
        <f t="shared" si="17"/>
        <v/>
      </c>
      <c r="N215" t="str">
        <f t="shared" si="18"/>
        <v/>
      </c>
    </row>
    <row r="216" spans="1:14" x14ac:dyDescent="0.25">
      <c r="A216" s="4" t="s">
        <v>315</v>
      </c>
      <c r="B216" s="1"/>
      <c r="C216" s="5" t="s">
        <v>5</v>
      </c>
      <c r="D216" s="13" t="s">
        <v>458</v>
      </c>
      <c r="E216" s="30"/>
      <c r="F216" s="46"/>
      <c r="G216" s="20">
        <f t="shared" si="15"/>
        <v>1</v>
      </c>
      <c r="H216" s="18"/>
      <c r="I216" s="19">
        <f t="shared" si="16"/>
        <v>1</v>
      </c>
      <c r="J216" s="19"/>
      <c r="K216" s="20"/>
      <c r="L216" s="19"/>
      <c r="M216" t="str">
        <f t="shared" si="17"/>
        <v/>
      </c>
      <c r="N216" t="str">
        <f t="shared" si="18"/>
        <v/>
      </c>
    </row>
    <row r="217" spans="1:14" x14ac:dyDescent="0.25">
      <c r="A217" s="4" t="s">
        <v>91</v>
      </c>
      <c r="B217" s="1"/>
      <c r="C217" s="5" t="s">
        <v>5</v>
      </c>
      <c r="D217" s="13"/>
      <c r="E217" s="30"/>
      <c r="F217" s="43"/>
      <c r="G217" s="20">
        <f t="shared" si="15"/>
        <v>1</v>
      </c>
      <c r="H217" s="18"/>
      <c r="I217" s="19">
        <f t="shared" si="16"/>
        <v>1</v>
      </c>
      <c r="J217" s="19"/>
      <c r="K217" s="20"/>
      <c r="L217" s="19"/>
      <c r="M217" t="str">
        <f t="shared" si="17"/>
        <v/>
      </c>
      <c r="N217" t="str">
        <f t="shared" si="18"/>
        <v/>
      </c>
    </row>
    <row r="218" spans="1:14" x14ac:dyDescent="0.25">
      <c r="A218" s="4" t="s">
        <v>92</v>
      </c>
      <c r="B218" s="1"/>
      <c r="C218" s="5" t="s">
        <v>5</v>
      </c>
      <c r="D218" s="13" t="s">
        <v>422</v>
      </c>
      <c r="E218" s="30"/>
      <c r="F218" s="46"/>
      <c r="G218" s="20">
        <f t="shared" si="15"/>
        <v>1</v>
      </c>
      <c r="H218" s="18"/>
      <c r="I218" s="19">
        <f t="shared" si="16"/>
        <v>1</v>
      </c>
      <c r="J218" s="19"/>
      <c r="K218" s="20"/>
      <c r="L218" s="19"/>
      <c r="M218" t="str">
        <f t="shared" si="17"/>
        <v/>
      </c>
      <c r="N218" t="str">
        <f t="shared" si="18"/>
        <v/>
      </c>
    </row>
    <row r="219" spans="1:14" x14ac:dyDescent="0.25">
      <c r="A219" s="4" t="s">
        <v>93</v>
      </c>
      <c r="B219" s="1"/>
      <c r="C219" s="5" t="s">
        <v>5</v>
      </c>
      <c r="D219" s="13" t="s">
        <v>493</v>
      </c>
      <c r="E219" s="30">
        <v>5.68</v>
      </c>
      <c r="F219" s="43"/>
      <c r="G219" s="20">
        <f t="shared" si="15"/>
        <v>1</v>
      </c>
      <c r="H219" s="18"/>
      <c r="I219" s="19">
        <f t="shared" si="16"/>
        <v>1</v>
      </c>
      <c r="J219" s="19"/>
      <c r="K219" s="20"/>
      <c r="L219" s="19"/>
      <c r="M219" t="str">
        <f t="shared" si="17"/>
        <v/>
      </c>
      <c r="N219" t="str">
        <f t="shared" si="18"/>
        <v/>
      </c>
    </row>
    <row r="220" spans="1:14" x14ac:dyDescent="0.25">
      <c r="A220" s="4" t="s">
        <v>203</v>
      </c>
      <c r="B220" s="1"/>
      <c r="C220" s="5" t="s">
        <v>5</v>
      </c>
      <c r="D220" s="13"/>
      <c r="E220" s="30"/>
      <c r="F220" s="43"/>
      <c r="G220" s="20">
        <f t="shared" si="15"/>
        <v>1</v>
      </c>
      <c r="H220" s="18"/>
      <c r="I220" s="19">
        <f t="shared" si="16"/>
        <v>1</v>
      </c>
      <c r="J220" s="19"/>
      <c r="K220" s="20"/>
      <c r="L220" s="19"/>
      <c r="M220" t="str">
        <f t="shared" si="17"/>
        <v/>
      </c>
      <c r="N220" t="str">
        <f t="shared" si="18"/>
        <v/>
      </c>
    </row>
    <row r="221" spans="1:14" x14ac:dyDescent="0.25">
      <c r="A221" s="4" t="s">
        <v>94</v>
      </c>
      <c r="B221" s="1"/>
      <c r="C221" s="5" t="s">
        <v>5</v>
      </c>
      <c r="D221" s="13"/>
      <c r="E221" s="30"/>
      <c r="F221" s="43"/>
      <c r="G221" s="20">
        <f t="shared" si="15"/>
        <v>1</v>
      </c>
      <c r="H221" s="18"/>
      <c r="I221" s="19">
        <f t="shared" si="16"/>
        <v>1</v>
      </c>
      <c r="J221" s="19"/>
      <c r="K221" s="20"/>
      <c r="L221" s="19"/>
      <c r="M221" t="str">
        <f t="shared" si="17"/>
        <v/>
      </c>
      <c r="N221" t="str">
        <f t="shared" si="18"/>
        <v/>
      </c>
    </row>
    <row r="222" spans="1:14" x14ac:dyDescent="0.25">
      <c r="A222" s="2" t="s">
        <v>647</v>
      </c>
      <c r="B222" s="21"/>
      <c r="C222" s="3"/>
      <c r="D222" s="14"/>
      <c r="E222" s="31"/>
      <c r="F222" s="45" t="s">
        <v>648</v>
      </c>
      <c r="G222" s="20">
        <f t="shared" si="15"/>
        <v>1</v>
      </c>
      <c r="H222" s="18"/>
      <c r="I222" s="19">
        <f t="shared" si="16"/>
        <v>0</v>
      </c>
      <c r="J222" s="19"/>
      <c r="K222" s="20"/>
      <c r="L222" s="19"/>
      <c r="M222" t="str">
        <f t="shared" si="17"/>
        <v/>
      </c>
      <c r="N222" t="str">
        <f t="shared" si="18"/>
        <v/>
      </c>
    </row>
    <row r="223" spans="1:14" x14ac:dyDescent="0.25">
      <c r="A223" s="2" t="s">
        <v>645</v>
      </c>
      <c r="B223" s="21"/>
      <c r="C223" s="3"/>
      <c r="D223" s="14"/>
      <c r="E223" s="31"/>
      <c r="F223" s="45" t="s">
        <v>646</v>
      </c>
      <c r="G223" s="20">
        <f t="shared" si="15"/>
        <v>1</v>
      </c>
      <c r="H223" s="18"/>
      <c r="I223" s="19">
        <f t="shared" si="16"/>
        <v>0</v>
      </c>
      <c r="J223" s="19"/>
      <c r="K223" s="20"/>
      <c r="L223" s="19"/>
      <c r="M223" t="str">
        <f t="shared" si="17"/>
        <v/>
      </c>
      <c r="N223" t="str">
        <f t="shared" si="18"/>
        <v/>
      </c>
    </row>
    <row r="224" spans="1:14" x14ac:dyDescent="0.25">
      <c r="A224" s="4" t="s">
        <v>241</v>
      </c>
      <c r="B224" s="1"/>
      <c r="C224" s="5" t="s">
        <v>5</v>
      </c>
      <c r="D224" s="13"/>
      <c r="E224" s="30"/>
      <c r="F224" s="43"/>
      <c r="G224" s="20">
        <f t="shared" si="15"/>
        <v>1</v>
      </c>
      <c r="H224" s="18"/>
      <c r="I224" s="19">
        <f t="shared" si="16"/>
        <v>1</v>
      </c>
      <c r="J224" s="19"/>
      <c r="K224" s="20"/>
      <c r="L224" s="19"/>
      <c r="M224" t="str">
        <f t="shared" si="17"/>
        <v/>
      </c>
      <c r="N224" t="str">
        <f t="shared" si="18"/>
        <v/>
      </c>
    </row>
    <row r="225" spans="1:14" x14ac:dyDescent="0.25">
      <c r="A225" s="4" t="s">
        <v>95</v>
      </c>
      <c r="B225" s="1"/>
      <c r="C225" s="5" t="s">
        <v>5</v>
      </c>
      <c r="D225" s="13"/>
      <c r="E225" s="30"/>
      <c r="F225" s="43"/>
      <c r="G225" s="20">
        <f t="shared" si="15"/>
        <v>1</v>
      </c>
      <c r="H225" s="18"/>
      <c r="I225" s="19">
        <f t="shared" si="16"/>
        <v>1</v>
      </c>
      <c r="J225" s="19"/>
      <c r="K225" s="20"/>
      <c r="L225" s="19"/>
      <c r="M225" t="str">
        <f t="shared" si="17"/>
        <v/>
      </c>
      <c r="N225" t="str">
        <f t="shared" si="18"/>
        <v/>
      </c>
    </row>
    <row r="226" spans="1:14" x14ac:dyDescent="0.25">
      <c r="A226" s="2" t="s">
        <v>370</v>
      </c>
      <c r="B226" s="21"/>
      <c r="C226" s="3"/>
      <c r="D226" s="14"/>
      <c r="E226" s="31"/>
      <c r="F226" s="45" t="s">
        <v>649</v>
      </c>
      <c r="G226" s="20">
        <f t="shared" si="15"/>
        <v>1</v>
      </c>
      <c r="H226" s="18"/>
      <c r="I226" s="19">
        <f t="shared" si="16"/>
        <v>0</v>
      </c>
      <c r="J226" s="19"/>
      <c r="K226" s="20"/>
      <c r="L226" s="19"/>
      <c r="M226" t="str">
        <f t="shared" si="17"/>
        <v/>
      </c>
      <c r="N226" t="str">
        <f t="shared" si="18"/>
        <v/>
      </c>
    </row>
    <row r="227" spans="1:14" x14ac:dyDescent="0.25">
      <c r="A227" s="2" t="s">
        <v>418</v>
      </c>
      <c r="B227" s="21"/>
      <c r="C227" s="3"/>
      <c r="D227" s="14" t="s">
        <v>430</v>
      </c>
      <c r="E227" s="31">
        <v>15</v>
      </c>
      <c r="F227" s="45" t="s">
        <v>650</v>
      </c>
      <c r="G227" s="20">
        <f t="shared" si="15"/>
        <v>1</v>
      </c>
      <c r="H227" s="18"/>
      <c r="I227" s="19">
        <f t="shared" si="16"/>
        <v>0</v>
      </c>
      <c r="J227" s="19"/>
      <c r="K227" s="20"/>
      <c r="L227" s="19"/>
      <c r="M227" t="str">
        <f t="shared" si="17"/>
        <v/>
      </c>
      <c r="N227" t="str">
        <f t="shared" si="18"/>
        <v/>
      </c>
    </row>
    <row r="228" spans="1:14" x14ac:dyDescent="0.25">
      <c r="A228" s="4" t="s">
        <v>96</v>
      </c>
      <c r="B228" s="1"/>
      <c r="C228" s="5" t="s">
        <v>5</v>
      </c>
      <c r="D228" s="13" t="s">
        <v>310</v>
      </c>
      <c r="E228" s="30"/>
      <c r="F228" s="43"/>
      <c r="G228" s="20">
        <f t="shared" si="15"/>
        <v>1</v>
      </c>
      <c r="H228" s="18"/>
      <c r="I228" s="19">
        <f t="shared" si="16"/>
        <v>1</v>
      </c>
      <c r="J228" s="19"/>
      <c r="K228" s="20"/>
      <c r="L228" s="19"/>
      <c r="M228" t="str">
        <f t="shared" si="17"/>
        <v/>
      </c>
      <c r="N228" t="str">
        <f t="shared" si="18"/>
        <v/>
      </c>
    </row>
    <row r="229" spans="1:14" x14ac:dyDescent="0.25">
      <c r="A229" s="2" t="s">
        <v>97</v>
      </c>
      <c r="B229" s="21"/>
      <c r="C229" s="3"/>
      <c r="D229" s="14"/>
      <c r="E229" s="31"/>
      <c r="F229" s="45" t="s">
        <v>651</v>
      </c>
      <c r="G229" s="20">
        <f t="shared" si="15"/>
        <v>1</v>
      </c>
      <c r="H229" s="18"/>
      <c r="I229" s="19">
        <f t="shared" si="16"/>
        <v>0</v>
      </c>
      <c r="J229" s="19"/>
      <c r="K229" s="20"/>
      <c r="L229" s="19"/>
      <c r="M229" t="str">
        <f t="shared" si="17"/>
        <v/>
      </c>
      <c r="N229" t="str">
        <f t="shared" si="18"/>
        <v/>
      </c>
    </row>
    <row r="230" spans="1:14" x14ac:dyDescent="0.25">
      <c r="A230" s="4" t="s">
        <v>395</v>
      </c>
      <c r="B230" s="1"/>
      <c r="C230" s="5" t="s">
        <v>5</v>
      </c>
      <c r="D230" s="13" t="s">
        <v>425</v>
      </c>
      <c r="E230" s="30"/>
      <c r="F230" s="43"/>
      <c r="G230" s="20">
        <f t="shared" si="15"/>
        <v>1</v>
      </c>
      <c r="H230" s="18"/>
      <c r="I230" s="19">
        <f t="shared" si="16"/>
        <v>1</v>
      </c>
      <c r="J230" s="19"/>
      <c r="K230" s="20"/>
      <c r="L230" s="19"/>
      <c r="M230" t="str">
        <f t="shared" si="17"/>
        <v/>
      </c>
      <c r="N230" t="str">
        <f t="shared" si="18"/>
        <v/>
      </c>
    </row>
    <row r="231" spans="1:14" x14ac:dyDescent="0.25">
      <c r="A231" s="4" t="s">
        <v>361</v>
      </c>
      <c r="B231" s="1"/>
      <c r="C231" s="5" t="s">
        <v>5</v>
      </c>
      <c r="D231" s="13" t="s">
        <v>310</v>
      </c>
      <c r="E231" s="30"/>
      <c r="F231" s="43"/>
      <c r="G231" s="20">
        <f t="shared" si="15"/>
        <v>1</v>
      </c>
      <c r="H231" s="18"/>
      <c r="I231" s="19">
        <f t="shared" si="16"/>
        <v>1</v>
      </c>
      <c r="J231" s="19"/>
      <c r="K231" s="20"/>
      <c r="L231" s="19"/>
      <c r="M231" t="str">
        <f t="shared" si="17"/>
        <v/>
      </c>
      <c r="N231" t="str">
        <f t="shared" si="18"/>
        <v/>
      </c>
    </row>
    <row r="232" spans="1:14" x14ac:dyDescent="0.25">
      <c r="A232" s="4" t="s">
        <v>98</v>
      </c>
      <c r="B232" s="1"/>
      <c r="C232" s="5" t="s">
        <v>5</v>
      </c>
      <c r="D232" s="13" t="s">
        <v>426</v>
      </c>
      <c r="E232" s="30"/>
      <c r="F232" s="43"/>
      <c r="G232" s="20">
        <f t="shared" si="15"/>
        <v>1</v>
      </c>
      <c r="H232" s="18"/>
      <c r="I232" s="19">
        <f t="shared" si="16"/>
        <v>1</v>
      </c>
      <c r="J232" s="19"/>
      <c r="K232" s="20"/>
      <c r="L232" s="19"/>
    </row>
    <row r="233" spans="1:14" x14ac:dyDescent="0.25">
      <c r="A233" s="2" t="s">
        <v>320</v>
      </c>
      <c r="B233" s="21"/>
      <c r="C233" s="3"/>
      <c r="D233" s="14"/>
      <c r="E233" s="31"/>
      <c r="F233" s="45" t="s">
        <v>652</v>
      </c>
      <c r="G233" s="20">
        <f t="shared" si="15"/>
        <v>1</v>
      </c>
      <c r="H233" s="18"/>
      <c r="I233" s="19">
        <f t="shared" si="16"/>
        <v>0</v>
      </c>
      <c r="J233" s="19"/>
      <c r="K233" s="20"/>
      <c r="L233" s="19"/>
      <c r="M233" t="str">
        <f t="shared" si="17"/>
        <v/>
      </c>
      <c r="N233" t="str">
        <f t="shared" si="18"/>
        <v/>
      </c>
    </row>
    <row r="234" spans="1:14" x14ac:dyDescent="0.25">
      <c r="A234" s="4" t="s">
        <v>504</v>
      </c>
      <c r="B234" s="1"/>
      <c r="C234" s="5" t="s">
        <v>5</v>
      </c>
      <c r="D234" s="13"/>
      <c r="E234" s="30"/>
      <c r="F234" s="43"/>
      <c r="G234" s="20">
        <f t="shared" si="15"/>
        <v>1</v>
      </c>
      <c r="H234" s="18"/>
      <c r="I234" s="19">
        <f t="shared" si="16"/>
        <v>1</v>
      </c>
      <c r="J234" s="19"/>
      <c r="K234" s="20"/>
      <c r="L234" s="19"/>
      <c r="M234" t="str">
        <f t="shared" si="17"/>
        <v/>
      </c>
      <c r="N234" t="str">
        <f t="shared" si="18"/>
        <v/>
      </c>
    </row>
    <row r="235" spans="1:14" x14ac:dyDescent="0.25">
      <c r="A235" s="4" t="s">
        <v>295</v>
      </c>
      <c r="B235" s="1"/>
      <c r="C235" s="5" t="s">
        <v>5</v>
      </c>
      <c r="D235" s="13" t="s">
        <v>459</v>
      </c>
      <c r="E235" s="30">
        <v>19.48</v>
      </c>
      <c r="F235" s="43"/>
      <c r="G235" s="20">
        <f t="shared" si="15"/>
        <v>1</v>
      </c>
      <c r="H235" s="18"/>
      <c r="I235" s="19">
        <f t="shared" si="16"/>
        <v>1</v>
      </c>
      <c r="J235" s="19"/>
      <c r="K235" s="20"/>
      <c r="L235" s="19"/>
      <c r="M235" t="str">
        <f t="shared" si="17"/>
        <v/>
      </c>
      <c r="N235" t="str">
        <f t="shared" si="18"/>
        <v/>
      </c>
    </row>
    <row r="236" spans="1:14" x14ac:dyDescent="0.25">
      <c r="A236" s="34" t="s">
        <v>789</v>
      </c>
      <c r="B236" s="25"/>
      <c r="C236" s="35"/>
      <c r="D236" s="36"/>
      <c r="E236" s="37"/>
      <c r="F236" s="70" t="s">
        <v>790</v>
      </c>
      <c r="G236" s="20">
        <f t="shared" ref="G236:G237" si="19">COUNTA(A236)</f>
        <v>1</v>
      </c>
      <c r="H236" s="18"/>
      <c r="I236" s="19">
        <f t="shared" ref="I236:I237" si="20">COUNTA(C236)</f>
        <v>0</v>
      </c>
      <c r="J236" s="19"/>
      <c r="K236" s="20"/>
      <c r="L236" s="19"/>
    </row>
    <row r="237" spans="1:14" x14ac:dyDescent="0.25">
      <c r="A237" s="34" t="s">
        <v>791</v>
      </c>
      <c r="B237" s="25"/>
      <c r="C237" s="35"/>
      <c r="D237" s="36"/>
      <c r="E237" s="37"/>
      <c r="F237" s="70" t="s">
        <v>792</v>
      </c>
      <c r="G237" s="20">
        <f t="shared" si="19"/>
        <v>1</v>
      </c>
      <c r="H237" s="18"/>
      <c r="I237" s="19">
        <f t="shared" si="20"/>
        <v>0</v>
      </c>
      <c r="J237" s="19"/>
      <c r="K237" s="20"/>
      <c r="L237" s="19"/>
    </row>
    <row r="238" spans="1:14" x14ac:dyDescent="0.25">
      <c r="A238" s="4" t="s">
        <v>204</v>
      </c>
      <c r="B238" s="1"/>
      <c r="C238" s="5" t="s">
        <v>5</v>
      </c>
      <c r="D238" s="13"/>
      <c r="E238" s="30"/>
      <c r="F238" s="43"/>
      <c r="G238" s="20">
        <f t="shared" si="15"/>
        <v>1</v>
      </c>
      <c r="H238" s="18"/>
      <c r="I238" s="19">
        <f t="shared" si="16"/>
        <v>1</v>
      </c>
      <c r="J238" s="19"/>
      <c r="K238" s="20"/>
      <c r="L238" s="19"/>
    </row>
    <row r="239" spans="1:14" x14ac:dyDescent="0.25">
      <c r="A239" s="4" t="s">
        <v>177</v>
      </c>
      <c r="B239" s="1"/>
      <c r="C239" s="5" t="s">
        <v>5</v>
      </c>
      <c r="D239" s="13"/>
      <c r="E239" s="30"/>
      <c r="F239" s="43"/>
      <c r="G239" s="20">
        <f t="shared" si="15"/>
        <v>1</v>
      </c>
      <c r="H239" s="18"/>
      <c r="I239" s="19">
        <f t="shared" si="16"/>
        <v>1</v>
      </c>
      <c r="J239" s="19"/>
      <c r="K239" s="20"/>
      <c r="L239" s="19"/>
      <c r="M239" t="str">
        <f t="shared" si="17"/>
        <v/>
      </c>
      <c r="N239" t="str">
        <f t="shared" si="18"/>
        <v/>
      </c>
    </row>
    <row r="240" spans="1:14" x14ac:dyDescent="0.25">
      <c r="A240" s="2" t="s">
        <v>99</v>
      </c>
      <c r="B240" s="21"/>
      <c r="C240" s="3"/>
      <c r="D240" s="14"/>
      <c r="E240" s="31"/>
      <c r="F240" s="45" t="s">
        <v>653</v>
      </c>
      <c r="G240" s="20">
        <f t="shared" si="15"/>
        <v>1</v>
      </c>
      <c r="H240" s="18"/>
      <c r="I240" s="19">
        <f t="shared" si="16"/>
        <v>0</v>
      </c>
      <c r="J240" s="19"/>
      <c r="K240" s="20"/>
      <c r="L240" s="19"/>
      <c r="M240" t="str">
        <f t="shared" si="17"/>
        <v/>
      </c>
      <c r="N240" t="str">
        <f t="shared" si="18"/>
        <v/>
      </c>
    </row>
    <row r="241" spans="1:14" x14ac:dyDescent="0.25">
      <c r="A241" s="2" t="s">
        <v>100</v>
      </c>
      <c r="B241" s="21"/>
      <c r="C241" s="3"/>
      <c r="D241" s="14"/>
      <c r="E241" s="31"/>
      <c r="F241" s="45" t="s">
        <v>654</v>
      </c>
      <c r="G241" s="20">
        <f t="shared" si="15"/>
        <v>1</v>
      </c>
      <c r="H241" s="18"/>
      <c r="I241" s="19">
        <f t="shared" si="16"/>
        <v>0</v>
      </c>
      <c r="J241" s="19"/>
      <c r="K241" s="20"/>
      <c r="L241" s="19"/>
      <c r="M241" t="str">
        <f t="shared" si="17"/>
        <v/>
      </c>
      <c r="N241" t="str">
        <f t="shared" si="18"/>
        <v/>
      </c>
    </row>
    <row r="242" spans="1:14" x14ac:dyDescent="0.25">
      <c r="A242" s="2" t="s">
        <v>364</v>
      </c>
      <c r="B242" s="21"/>
      <c r="C242" s="3"/>
      <c r="D242" s="14"/>
      <c r="E242" s="31"/>
      <c r="F242" s="45" t="s">
        <v>655</v>
      </c>
      <c r="G242" s="20">
        <f t="shared" si="15"/>
        <v>1</v>
      </c>
      <c r="H242" s="18"/>
      <c r="I242" s="19">
        <f t="shared" si="16"/>
        <v>0</v>
      </c>
      <c r="J242" s="19"/>
      <c r="K242" s="20"/>
      <c r="L242" s="19"/>
      <c r="M242" t="str">
        <f t="shared" si="17"/>
        <v/>
      </c>
      <c r="N242" t="str">
        <f t="shared" si="18"/>
        <v/>
      </c>
    </row>
    <row r="243" spans="1:14" x14ac:dyDescent="0.25">
      <c r="A243" s="4" t="s">
        <v>538</v>
      </c>
      <c r="B243" s="1"/>
      <c r="C243" s="5" t="s">
        <v>5</v>
      </c>
      <c r="D243" s="13" t="s">
        <v>430</v>
      </c>
      <c r="E243" s="30">
        <v>15</v>
      </c>
      <c r="F243" s="46"/>
      <c r="G243" s="20">
        <f t="shared" si="15"/>
        <v>1</v>
      </c>
      <c r="H243" s="18"/>
      <c r="I243" s="19">
        <f t="shared" si="16"/>
        <v>1</v>
      </c>
      <c r="J243" s="19"/>
      <c r="K243" s="20"/>
      <c r="L243" s="19"/>
      <c r="M243" t="str">
        <f t="shared" si="17"/>
        <v/>
      </c>
      <c r="N243" t="str">
        <f t="shared" si="18"/>
        <v/>
      </c>
    </row>
    <row r="244" spans="1:14" x14ac:dyDescent="0.25">
      <c r="A244" s="2" t="s">
        <v>101</v>
      </c>
      <c r="B244" s="21"/>
      <c r="C244" s="3"/>
      <c r="D244" s="14"/>
      <c r="E244" s="31"/>
      <c r="F244" s="45" t="s">
        <v>656</v>
      </c>
      <c r="G244" s="20">
        <f t="shared" si="15"/>
        <v>1</v>
      </c>
      <c r="H244" s="18"/>
      <c r="I244" s="19">
        <f t="shared" si="16"/>
        <v>0</v>
      </c>
      <c r="J244" s="19"/>
      <c r="K244" s="20"/>
      <c r="L244" s="19"/>
      <c r="M244" t="str">
        <f t="shared" si="17"/>
        <v/>
      </c>
      <c r="N244" t="str">
        <f t="shared" si="18"/>
        <v/>
      </c>
    </row>
    <row r="245" spans="1:14" x14ac:dyDescent="0.25">
      <c r="A245" s="2" t="s">
        <v>658</v>
      </c>
      <c r="B245" s="21"/>
      <c r="C245" s="3"/>
      <c r="D245" s="14"/>
      <c r="E245" s="31"/>
      <c r="F245" s="45" t="s">
        <v>657</v>
      </c>
      <c r="G245" s="20">
        <f t="shared" si="15"/>
        <v>1</v>
      </c>
      <c r="H245" s="18"/>
      <c r="I245" s="19">
        <f t="shared" si="16"/>
        <v>0</v>
      </c>
      <c r="J245" s="19"/>
      <c r="K245" s="20"/>
      <c r="L245" s="19"/>
    </row>
    <row r="246" spans="1:14" x14ac:dyDescent="0.25">
      <c r="A246" s="4" t="s">
        <v>316</v>
      </c>
      <c r="B246" s="1"/>
      <c r="C246" s="5" t="s">
        <v>5</v>
      </c>
      <c r="D246" s="13"/>
      <c r="E246" s="30"/>
      <c r="F246" s="43"/>
      <c r="G246" s="20">
        <f t="shared" si="15"/>
        <v>1</v>
      </c>
      <c r="H246" s="18"/>
      <c r="I246" s="19">
        <f t="shared" si="16"/>
        <v>1</v>
      </c>
      <c r="J246" s="19"/>
      <c r="K246" s="20"/>
      <c r="L246" s="19"/>
      <c r="M246" t="str">
        <f t="shared" si="17"/>
        <v/>
      </c>
      <c r="N246" t="str">
        <f t="shared" si="18"/>
        <v/>
      </c>
    </row>
    <row r="247" spans="1:14" x14ac:dyDescent="0.25">
      <c r="A247" s="2" t="s">
        <v>219</v>
      </c>
      <c r="B247" s="21"/>
      <c r="C247" s="3"/>
      <c r="D247" s="14"/>
      <c r="E247" s="31"/>
      <c r="F247" s="45" t="s">
        <v>659</v>
      </c>
      <c r="G247" s="20">
        <f t="shared" si="15"/>
        <v>1</v>
      </c>
      <c r="H247" s="18"/>
      <c r="I247" s="19">
        <f t="shared" si="16"/>
        <v>0</v>
      </c>
      <c r="J247" s="19"/>
      <c r="K247" s="20"/>
      <c r="L247" s="19"/>
    </row>
    <row r="248" spans="1:14" x14ac:dyDescent="0.25">
      <c r="A248" s="2" t="s">
        <v>220</v>
      </c>
      <c r="B248" s="21"/>
      <c r="C248" s="3"/>
      <c r="D248" s="14"/>
      <c r="E248" s="31"/>
      <c r="F248" s="45" t="s">
        <v>660</v>
      </c>
      <c r="G248" s="20">
        <f t="shared" si="15"/>
        <v>1</v>
      </c>
      <c r="H248" s="18"/>
      <c r="I248" s="19">
        <f t="shared" si="16"/>
        <v>0</v>
      </c>
      <c r="J248" s="19"/>
      <c r="K248" s="20"/>
      <c r="L248" s="19"/>
      <c r="M248" t="str">
        <f t="shared" si="17"/>
        <v/>
      </c>
      <c r="N248" t="str">
        <f t="shared" si="18"/>
        <v/>
      </c>
    </row>
    <row r="249" spans="1:14" x14ac:dyDescent="0.25">
      <c r="A249" s="2" t="s">
        <v>205</v>
      </c>
      <c r="B249" s="21"/>
      <c r="C249" s="3"/>
      <c r="D249" s="14"/>
      <c r="E249" s="31"/>
      <c r="F249" s="45" t="s">
        <v>661</v>
      </c>
      <c r="G249" s="20">
        <f t="shared" si="15"/>
        <v>1</v>
      </c>
      <c r="H249" s="18"/>
      <c r="I249" s="19">
        <f t="shared" si="16"/>
        <v>0</v>
      </c>
      <c r="J249" s="19"/>
      <c r="K249" s="20"/>
      <c r="L249" s="19"/>
      <c r="M249" t="str">
        <f t="shared" si="17"/>
        <v/>
      </c>
      <c r="N249" t="str">
        <f t="shared" si="18"/>
        <v/>
      </c>
    </row>
    <row r="250" spans="1:14" x14ac:dyDescent="0.25">
      <c r="A250" s="4" t="s">
        <v>206</v>
      </c>
      <c r="B250" s="1"/>
      <c r="C250" s="5" t="s">
        <v>5</v>
      </c>
      <c r="D250" s="13"/>
      <c r="E250" s="30"/>
      <c r="F250" s="43"/>
      <c r="G250" s="20">
        <f t="shared" si="15"/>
        <v>1</v>
      </c>
      <c r="H250" s="18"/>
      <c r="I250" s="19">
        <f t="shared" si="16"/>
        <v>1</v>
      </c>
      <c r="J250" s="19"/>
      <c r="K250" s="20"/>
      <c r="L250" s="19"/>
      <c r="M250" t="str">
        <f t="shared" si="17"/>
        <v/>
      </c>
      <c r="N250" t="str">
        <f t="shared" si="18"/>
        <v/>
      </c>
    </row>
    <row r="251" spans="1:14" x14ac:dyDescent="0.25">
      <c r="A251" s="4" t="s">
        <v>207</v>
      </c>
      <c r="B251" s="1"/>
      <c r="C251" s="5" t="s">
        <v>5</v>
      </c>
      <c r="D251" s="13" t="s">
        <v>430</v>
      </c>
      <c r="E251" s="30">
        <v>129</v>
      </c>
      <c r="F251" s="46"/>
      <c r="G251" s="20">
        <f t="shared" si="15"/>
        <v>1</v>
      </c>
      <c r="H251" s="18"/>
      <c r="I251" s="19">
        <f t="shared" si="16"/>
        <v>1</v>
      </c>
      <c r="J251" s="19"/>
      <c r="K251" s="20"/>
      <c r="L251" s="19"/>
      <c r="M251" t="str">
        <f t="shared" si="17"/>
        <v/>
      </c>
      <c r="N251" t="str">
        <f t="shared" si="18"/>
        <v/>
      </c>
    </row>
    <row r="252" spans="1:14" x14ac:dyDescent="0.25">
      <c r="A252" s="2" t="s">
        <v>309</v>
      </c>
      <c r="B252" s="21"/>
      <c r="C252" s="3"/>
      <c r="D252" s="14" t="s">
        <v>663</v>
      </c>
      <c r="E252" s="31"/>
      <c r="F252" s="45" t="s">
        <v>662</v>
      </c>
      <c r="G252" s="20">
        <f t="shared" si="15"/>
        <v>1</v>
      </c>
      <c r="H252" s="18"/>
      <c r="I252" s="19">
        <f t="shared" si="16"/>
        <v>0</v>
      </c>
      <c r="J252" s="19"/>
      <c r="K252" s="20"/>
      <c r="L252" s="19"/>
      <c r="M252" t="str">
        <f t="shared" si="17"/>
        <v/>
      </c>
      <c r="N252" t="str">
        <f t="shared" si="18"/>
        <v/>
      </c>
    </row>
    <row r="253" spans="1:14" x14ac:dyDescent="0.25">
      <c r="A253" s="4" t="s">
        <v>196</v>
      </c>
      <c r="B253" s="1"/>
      <c r="C253" s="5" t="s">
        <v>5</v>
      </c>
      <c r="D253" s="13"/>
      <c r="E253" s="30"/>
      <c r="F253" s="43"/>
      <c r="G253" s="20">
        <f t="shared" si="15"/>
        <v>1</v>
      </c>
      <c r="H253" s="18"/>
      <c r="I253" s="19">
        <f t="shared" si="16"/>
        <v>1</v>
      </c>
      <c r="J253" s="19"/>
      <c r="K253" s="20"/>
      <c r="L253" s="19"/>
      <c r="M253" t="str">
        <f t="shared" si="17"/>
        <v/>
      </c>
      <c r="N253" t="str">
        <f t="shared" si="18"/>
        <v/>
      </c>
    </row>
    <row r="254" spans="1:14" x14ac:dyDescent="0.25">
      <c r="A254" s="4" t="s">
        <v>208</v>
      </c>
      <c r="B254" s="1"/>
      <c r="C254" s="5" t="s">
        <v>5</v>
      </c>
      <c r="D254" s="13"/>
      <c r="E254" s="30"/>
      <c r="F254" s="43"/>
      <c r="G254" s="20">
        <f t="shared" si="15"/>
        <v>1</v>
      </c>
      <c r="H254" s="18"/>
      <c r="I254" s="19">
        <f t="shared" si="16"/>
        <v>1</v>
      </c>
      <c r="J254" s="19"/>
      <c r="K254" s="20"/>
      <c r="L254" s="19"/>
      <c r="M254" t="str">
        <f t="shared" si="17"/>
        <v/>
      </c>
      <c r="N254" t="str">
        <f t="shared" si="18"/>
        <v/>
      </c>
    </row>
    <row r="255" spans="1:14" x14ac:dyDescent="0.25">
      <c r="A255" s="4" t="s">
        <v>260</v>
      </c>
      <c r="B255" s="1"/>
      <c r="C255" s="5" t="s">
        <v>5</v>
      </c>
      <c r="D255" s="13"/>
      <c r="E255" s="30"/>
      <c r="F255" s="43"/>
      <c r="G255" s="20">
        <f t="shared" si="15"/>
        <v>1</v>
      </c>
      <c r="H255" s="18"/>
      <c r="I255" s="19">
        <f t="shared" si="16"/>
        <v>1</v>
      </c>
      <c r="J255" s="19"/>
      <c r="K255" s="20"/>
      <c r="L255" s="19"/>
      <c r="M255" t="str">
        <f t="shared" si="17"/>
        <v/>
      </c>
      <c r="N255" t="str">
        <f t="shared" si="18"/>
        <v/>
      </c>
    </row>
    <row r="256" spans="1:14" x14ac:dyDescent="0.25">
      <c r="A256" s="4" t="s">
        <v>195</v>
      </c>
      <c r="B256" s="1"/>
      <c r="C256" s="5" t="s">
        <v>5</v>
      </c>
      <c r="D256" s="13"/>
      <c r="E256" s="30"/>
      <c r="F256" s="43"/>
      <c r="G256" s="20">
        <f t="shared" si="15"/>
        <v>1</v>
      </c>
      <c r="H256" s="18"/>
      <c r="I256" s="19">
        <f t="shared" si="16"/>
        <v>1</v>
      </c>
      <c r="J256" s="19"/>
      <c r="K256" s="20"/>
      <c r="L256" s="19"/>
      <c r="M256" t="str">
        <f t="shared" si="17"/>
        <v/>
      </c>
      <c r="N256" t="str">
        <f t="shared" si="18"/>
        <v/>
      </c>
    </row>
    <row r="257" spans="1:14" x14ac:dyDescent="0.25">
      <c r="A257" s="2" t="s">
        <v>102</v>
      </c>
      <c r="B257" s="21"/>
      <c r="C257" s="3"/>
      <c r="D257" s="14"/>
      <c r="E257" s="31"/>
      <c r="F257" s="45" t="s">
        <v>664</v>
      </c>
      <c r="G257" s="20">
        <f t="shared" si="15"/>
        <v>1</v>
      </c>
      <c r="H257" s="18"/>
      <c r="I257" s="19">
        <f t="shared" si="16"/>
        <v>0</v>
      </c>
      <c r="J257" s="19"/>
      <c r="K257" s="20"/>
      <c r="L257" s="19"/>
      <c r="M257" t="str">
        <f t="shared" si="17"/>
        <v/>
      </c>
      <c r="N257" t="str">
        <f t="shared" si="18"/>
        <v/>
      </c>
    </row>
    <row r="258" spans="1:14" x14ac:dyDescent="0.25">
      <c r="A258" s="4" t="s">
        <v>10</v>
      </c>
      <c r="B258" s="1"/>
      <c r="C258" s="5" t="s">
        <v>5</v>
      </c>
      <c r="D258" s="13"/>
      <c r="E258" s="30"/>
      <c r="F258" s="43"/>
      <c r="G258" s="20">
        <f t="shared" si="15"/>
        <v>1</v>
      </c>
      <c r="H258" s="18"/>
      <c r="I258" s="19">
        <f t="shared" si="16"/>
        <v>1</v>
      </c>
      <c r="J258" s="19"/>
      <c r="K258" s="20"/>
      <c r="L258" s="19"/>
      <c r="M258" t="str">
        <f t="shared" si="17"/>
        <v/>
      </c>
      <c r="N258" t="str">
        <f t="shared" si="18"/>
        <v/>
      </c>
    </row>
    <row r="259" spans="1:14" x14ac:dyDescent="0.25">
      <c r="A259" s="4" t="s">
        <v>103</v>
      </c>
      <c r="B259" s="1"/>
      <c r="C259" s="5" t="s">
        <v>5</v>
      </c>
      <c r="D259" s="13"/>
      <c r="E259" s="30"/>
      <c r="F259" s="43"/>
      <c r="G259" s="20">
        <f t="shared" si="15"/>
        <v>1</v>
      </c>
      <c r="H259" s="18"/>
      <c r="I259" s="19">
        <f t="shared" si="16"/>
        <v>1</v>
      </c>
      <c r="J259" s="19"/>
      <c r="K259" s="20"/>
      <c r="L259" s="19"/>
      <c r="M259" t="str">
        <f t="shared" si="17"/>
        <v/>
      </c>
      <c r="N259" t="str">
        <f t="shared" si="18"/>
        <v/>
      </c>
    </row>
    <row r="260" spans="1:14" x14ac:dyDescent="0.25">
      <c r="A260" s="2" t="s">
        <v>104</v>
      </c>
      <c r="B260" s="21"/>
      <c r="C260" s="3"/>
      <c r="D260" s="14"/>
      <c r="E260" s="31"/>
      <c r="F260" s="45" t="s">
        <v>665</v>
      </c>
      <c r="G260" s="20">
        <f t="shared" si="15"/>
        <v>1</v>
      </c>
      <c r="H260" s="18"/>
      <c r="I260" s="19">
        <f t="shared" si="16"/>
        <v>0</v>
      </c>
      <c r="J260" s="19"/>
      <c r="K260" s="20"/>
      <c r="L260" s="19"/>
      <c r="M260" t="str">
        <f t="shared" si="17"/>
        <v/>
      </c>
      <c r="N260" t="str">
        <f t="shared" si="18"/>
        <v/>
      </c>
    </row>
    <row r="261" spans="1:14" x14ac:dyDescent="0.25">
      <c r="A261" s="4" t="s">
        <v>178</v>
      </c>
      <c r="B261" s="1"/>
      <c r="C261" s="5" t="s">
        <v>5</v>
      </c>
      <c r="D261" s="13"/>
      <c r="E261" s="30"/>
      <c r="F261" s="43"/>
      <c r="G261" s="20">
        <f t="shared" si="15"/>
        <v>1</v>
      </c>
      <c r="H261" s="18"/>
      <c r="I261" s="19">
        <f t="shared" si="16"/>
        <v>1</v>
      </c>
      <c r="J261" s="19"/>
      <c r="K261" s="20"/>
      <c r="L261" s="19"/>
      <c r="M261" t="str">
        <f t="shared" si="17"/>
        <v/>
      </c>
      <c r="N261" t="str">
        <f t="shared" si="18"/>
        <v/>
      </c>
    </row>
    <row r="262" spans="1:14" x14ac:dyDescent="0.25">
      <c r="A262" s="4" t="s">
        <v>242</v>
      </c>
      <c r="B262" s="1"/>
      <c r="C262" s="5" t="s">
        <v>5</v>
      </c>
      <c r="D262" s="13"/>
      <c r="E262" s="30"/>
      <c r="F262" s="43"/>
      <c r="G262" s="20">
        <f t="shared" si="15"/>
        <v>1</v>
      </c>
      <c r="H262" s="18"/>
      <c r="I262" s="19">
        <f t="shared" si="16"/>
        <v>1</v>
      </c>
      <c r="J262" s="19"/>
      <c r="K262" s="20"/>
      <c r="L262" s="19"/>
      <c r="M262" t="str">
        <f t="shared" si="17"/>
        <v/>
      </c>
      <c r="N262" t="str">
        <f t="shared" si="18"/>
        <v/>
      </c>
    </row>
    <row r="263" spans="1:14" x14ac:dyDescent="0.25">
      <c r="A263" s="4" t="s">
        <v>403</v>
      </c>
      <c r="B263" s="1"/>
      <c r="C263" s="5" t="s">
        <v>5</v>
      </c>
      <c r="D263" s="13"/>
      <c r="E263" s="30"/>
      <c r="F263" s="43"/>
      <c r="G263" s="20">
        <f t="shared" si="15"/>
        <v>1</v>
      </c>
      <c r="H263" s="18"/>
      <c r="I263" s="19">
        <f t="shared" si="16"/>
        <v>1</v>
      </c>
      <c r="J263" s="19"/>
      <c r="K263" s="20"/>
      <c r="L263" s="19"/>
      <c r="M263" t="str">
        <f t="shared" si="17"/>
        <v/>
      </c>
      <c r="N263" t="str">
        <f t="shared" si="18"/>
        <v/>
      </c>
    </row>
    <row r="264" spans="1:14" x14ac:dyDescent="0.25">
      <c r="A264" s="2" t="s">
        <v>667</v>
      </c>
      <c r="B264" s="21"/>
      <c r="C264" s="3"/>
      <c r="D264" s="14"/>
      <c r="E264" s="31"/>
      <c r="F264" s="45" t="s">
        <v>666</v>
      </c>
      <c r="G264" s="20">
        <f t="shared" si="15"/>
        <v>1</v>
      </c>
      <c r="H264" s="18"/>
      <c r="I264" s="19">
        <f t="shared" si="16"/>
        <v>0</v>
      </c>
      <c r="J264" s="19"/>
      <c r="K264" s="20"/>
      <c r="L264" s="19"/>
      <c r="M264" t="str">
        <f t="shared" si="17"/>
        <v/>
      </c>
      <c r="N264" t="str">
        <f t="shared" si="18"/>
        <v/>
      </c>
    </row>
    <row r="265" spans="1:14" x14ac:dyDescent="0.25">
      <c r="A265" s="2" t="s">
        <v>191</v>
      </c>
      <c r="B265" s="21"/>
      <c r="C265" s="3"/>
      <c r="D265" s="14"/>
      <c r="E265" s="31"/>
      <c r="F265" s="45" t="s">
        <v>668</v>
      </c>
      <c r="G265" s="20">
        <f t="shared" si="15"/>
        <v>1</v>
      </c>
      <c r="H265" s="18"/>
      <c r="I265" s="19">
        <f t="shared" si="16"/>
        <v>0</v>
      </c>
      <c r="J265" s="19"/>
      <c r="K265" s="20"/>
      <c r="L265" s="19"/>
      <c r="M265" t="str">
        <f t="shared" si="17"/>
        <v/>
      </c>
      <c r="N265" t="str">
        <f t="shared" si="18"/>
        <v/>
      </c>
    </row>
    <row r="266" spans="1:14" x14ac:dyDescent="0.25">
      <c r="A266" s="2" t="s">
        <v>262</v>
      </c>
      <c r="B266" s="21"/>
      <c r="C266" s="3"/>
      <c r="D266" s="14"/>
      <c r="E266" s="31"/>
      <c r="F266" s="45" t="s">
        <v>669</v>
      </c>
      <c r="G266" s="20">
        <f t="shared" ref="G266:G328" si="21">COUNTA(A266)</f>
        <v>1</v>
      </c>
      <c r="H266" s="18"/>
      <c r="I266" s="19">
        <f t="shared" ref="I266:I328" si="22">COUNTA(C266)</f>
        <v>0</v>
      </c>
      <c r="J266" s="19"/>
      <c r="K266" s="20"/>
      <c r="L266" s="19"/>
      <c r="M266" t="str">
        <f t="shared" si="17"/>
        <v/>
      </c>
      <c r="N266" t="str">
        <f t="shared" si="18"/>
        <v/>
      </c>
    </row>
    <row r="267" spans="1:14" x14ac:dyDescent="0.25">
      <c r="A267" s="2" t="s">
        <v>263</v>
      </c>
      <c r="B267" s="21"/>
      <c r="C267" s="3"/>
      <c r="D267" s="14"/>
      <c r="E267" s="31"/>
      <c r="F267" s="45" t="s">
        <v>670</v>
      </c>
      <c r="G267" s="20">
        <f t="shared" si="21"/>
        <v>1</v>
      </c>
      <c r="H267" s="18"/>
      <c r="I267" s="19">
        <f t="shared" si="22"/>
        <v>0</v>
      </c>
      <c r="J267" s="19"/>
      <c r="K267" s="20"/>
      <c r="L267" s="19"/>
      <c r="M267" t="str">
        <f t="shared" si="17"/>
        <v/>
      </c>
      <c r="N267" t="str">
        <f t="shared" si="18"/>
        <v/>
      </c>
    </row>
    <row r="268" spans="1:14" x14ac:dyDescent="0.25">
      <c r="A268" s="2" t="s">
        <v>105</v>
      </c>
      <c r="B268" s="21"/>
      <c r="C268" s="3"/>
      <c r="D268" s="14"/>
      <c r="E268" s="31"/>
      <c r="F268" s="45" t="s">
        <v>671</v>
      </c>
      <c r="G268" s="20">
        <f t="shared" si="21"/>
        <v>1</v>
      </c>
      <c r="H268" s="18"/>
      <c r="I268" s="19">
        <f t="shared" si="22"/>
        <v>0</v>
      </c>
      <c r="J268" s="19"/>
      <c r="K268" s="20"/>
      <c r="L268" s="19"/>
      <c r="M268" t="str">
        <f t="shared" si="17"/>
        <v/>
      </c>
      <c r="N268" t="str">
        <f t="shared" si="18"/>
        <v/>
      </c>
    </row>
    <row r="269" spans="1:14" x14ac:dyDescent="0.25">
      <c r="A269" s="2" t="s">
        <v>273</v>
      </c>
      <c r="B269" s="21"/>
      <c r="C269" s="3"/>
      <c r="D269" s="14"/>
      <c r="E269" s="31"/>
      <c r="F269" s="45" t="s">
        <v>672</v>
      </c>
      <c r="G269" s="20">
        <f t="shared" si="21"/>
        <v>1</v>
      </c>
      <c r="H269" s="18"/>
      <c r="I269" s="19">
        <f t="shared" si="22"/>
        <v>0</v>
      </c>
      <c r="J269" s="19"/>
      <c r="K269" s="20"/>
      <c r="L269" s="19"/>
      <c r="M269" t="str">
        <f t="shared" si="17"/>
        <v/>
      </c>
      <c r="N269" t="str">
        <f t="shared" si="18"/>
        <v/>
      </c>
    </row>
    <row r="270" spans="1:14" x14ac:dyDescent="0.25">
      <c r="A270" s="4" t="s">
        <v>243</v>
      </c>
      <c r="B270" s="1"/>
      <c r="C270" s="5" t="s">
        <v>5</v>
      </c>
      <c r="D270" s="13"/>
      <c r="E270" s="30"/>
      <c r="F270" s="46"/>
      <c r="G270" s="20">
        <f t="shared" si="21"/>
        <v>1</v>
      </c>
      <c r="H270" s="18"/>
      <c r="I270" s="19">
        <f t="shared" si="22"/>
        <v>1</v>
      </c>
      <c r="J270" s="19"/>
      <c r="K270" s="20"/>
      <c r="L270" s="19"/>
      <c r="M270" t="str">
        <f t="shared" si="17"/>
        <v/>
      </c>
      <c r="N270" t="str">
        <f t="shared" si="18"/>
        <v/>
      </c>
    </row>
    <row r="271" spans="1:14" x14ac:dyDescent="0.25">
      <c r="A271" s="4" t="s">
        <v>22</v>
      </c>
      <c r="B271" s="1"/>
      <c r="C271" s="5" t="s">
        <v>5</v>
      </c>
      <c r="D271" s="13"/>
      <c r="E271" s="30"/>
      <c r="F271" s="43"/>
      <c r="G271" s="20">
        <f t="shared" si="21"/>
        <v>1</v>
      </c>
      <c r="H271" s="18"/>
      <c r="I271" s="19">
        <f t="shared" si="22"/>
        <v>1</v>
      </c>
      <c r="J271" s="19"/>
      <c r="K271" s="20"/>
      <c r="L271" s="19"/>
      <c r="M271" t="str">
        <f t="shared" si="17"/>
        <v/>
      </c>
      <c r="N271" t="str">
        <f t="shared" si="18"/>
        <v/>
      </c>
    </row>
    <row r="272" spans="1:14" x14ac:dyDescent="0.25">
      <c r="A272" s="4" t="s">
        <v>491</v>
      </c>
      <c r="B272" s="1"/>
      <c r="C272" s="5" t="s">
        <v>5</v>
      </c>
      <c r="D272" s="13" t="s">
        <v>493</v>
      </c>
      <c r="E272" s="30">
        <v>19.329999999999998</v>
      </c>
      <c r="F272" s="46"/>
      <c r="G272" s="20">
        <f t="shared" si="21"/>
        <v>1</v>
      </c>
      <c r="H272" s="18"/>
      <c r="I272" s="19">
        <f t="shared" si="22"/>
        <v>1</v>
      </c>
      <c r="J272" s="19"/>
      <c r="K272" s="20"/>
      <c r="L272" s="19"/>
      <c r="M272" t="str">
        <f t="shared" si="17"/>
        <v/>
      </c>
      <c r="N272" t="str">
        <f t="shared" si="18"/>
        <v/>
      </c>
    </row>
    <row r="273" spans="1:14" x14ac:dyDescent="0.25">
      <c r="A273" s="2" t="s">
        <v>329</v>
      </c>
      <c r="B273" s="21"/>
      <c r="C273" s="3"/>
      <c r="D273" s="14"/>
      <c r="E273" s="31"/>
      <c r="F273" s="45" t="s">
        <v>673</v>
      </c>
      <c r="G273" s="20">
        <f t="shared" si="21"/>
        <v>1</v>
      </c>
      <c r="H273" s="18"/>
      <c r="I273" s="19">
        <f t="shared" si="22"/>
        <v>0</v>
      </c>
      <c r="J273" s="19"/>
      <c r="K273" s="20"/>
      <c r="L273" s="19"/>
      <c r="M273" t="str">
        <f t="shared" si="17"/>
        <v/>
      </c>
      <c r="N273" t="str">
        <f t="shared" si="18"/>
        <v/>
      </c>
    </row>
    <row r="274" spans="1:14" x14ac:dyDescent="0.25">
      <c r="A274" s="2" t="s">
        <v>369</v>
      </c>
      <c r="B274" s="21"/>
      <c r="C274" s="3"/>
      <c r="D274" s="14"/>
      <c r="E274" s="31"/>
      <c r="F274" s="45" t="s">
        <v>674</v>
      </c>
      <c r="G274" s="20">
        <f t="shared" si="21"/>
        <v>1</v>
      </c>
      <c r="H274" s="18"/>
      <c r="I274" s="19">
        <f t="shared" si="22"/>
        <v>0</v>
      </c>
      <c r="J274" s="19"/>
      <c r="K274" s="20"/>
      <c r="L274" s="19"/>
      <c r="M274" t="str">
        <f t="shared" si="17"/>
        <v/>
      </c>
      <c r="N274" t="str">
        <f t="shared" si="18"/>
        <v/>
      </c>
    </row>
    <row r="275" spans="1:14" x14ac:dyDescent="0.25">
      <c r="A275" s="4" t="s">
        <v>445</v>
      </c>
      <c r="B275" s="1"/>
      <c r="C275" s="5" t="s">
        <v>5</v>
      </c>
      <c r="D275" s="13" t="s">
        <v>422</v>
      </c>
      <c r="E275" s="30"/>
      <c r="F275" s="43"/>
      <c r="G275" s="20">
        <f t="shared" si="21"/>
        <v>1</v>
      </c>
      <c r="H275" s="18"/>
      <c r="I275" s="19">
        <f t="shared" si="22"/>
        <v>1</v>
      </c>
      <c r="J275" s="19"/>
      <c r="K275" s="20"/>
      <c r="L275" s="19"/>
      <c r="M275" t="str">
        <f t="shared" si="17"/>
        <v/>
      </c>
      <c r="N275" t="str">
        <f t="shared" si="18"/>
        <v/>
      </c>
    </row>
    <row r="276" spans="1:14" x14ac:dyDescent="0.25">
      <c r="A276" s="2" t="s">
        <v>106</v>
      </c>
      <c r="B276" s="21"/>
      <c r="C276" s="3"/>
      <c r="D276" s="14" t="s">
        <v>676</v>
      </c>
      <c r="E276" s="31"/>
      <c r="F276" s="45" t="s">
        <v>677</v>
      </c>
      <c r="G276" s="20">
        <f t="shared" si="21"/>
        <v>1</v>
      </c>
      <c r="H276" s="18"/>
      <c r="I276" s="19">
        <f t="shared" si="22"/>
        <v>0</v>
      </c>
      <c r="J276" s="19"/>
      <c r="K276" s="20"/>
      <c r="L276" s="19"/>
      <c r="M276" t="str">
        <f t="shared" ref="M276:M342" si="23">IF(B276=1,E276,"")</f>
        <v/>
      </c>
      <c r="N276" t="str">
        <f t="shared" ref="N276:N342" si="24">IF(B276=2,E276,"")</f>
        <v/>
      </c>
    </row>
    <row r="277" spans="1:14" x14ac:dyDescent="0.25">
      <c r="A277" s="2" t="s">
        <v>107</v>
      </c>
      <c r="B277" s="21"/>
      <c r="C277" s="3"/>
      <c r="D277" s="14"/>
      <c r="E277" s="31"/>
      <c r="F277" s="45" t="s">
        <v>675</v>
      </c>
      <c r="G277" s="20">
        <f t="shared" si="21"/>
        <v>1</v>
      </c>
      <c r="H277" s="18"/>
      <c r="I277" s="19">
        <f t="shared" si="22"/>
        <v>0</v>
      </c>
      <c r="J277" s="19"/>
      <c r="K277" s="20"/>
      <c r="L277" s="19"/>
      <c r="M277" t="str">
        <f t="shared" si="23"/>
        <v/>
      </c>
      <c r="N277" t="str">
        <f t="shared" si="24"/>
        <v/>
      </c>
    </row>
    <row r="278" spans="1:14" x14ac:dyDescent="0.25">
      <c r="A278" s="2" t="s">
        <v>108</v>
      </c>
      <c r="B278" s="21"/>
      <c r="C278" s="3"/>
      <c r="D278" s="14"/>
      <c r="E278" s="31"/>
      <c r="F278" s="45" t="s">
        <v>678</v>
      </c>
      <c r="G278" s="20">
        <f t="shared" si="21"/>
        <v>1</v>
      </c>
      <c r="H278" s="18"/>
      <c r="I278" s="19">
        <f t="shared" si="22"/>
        <v>0</v>
      </c>
      <c r="J278" s="19"/>
      <c r="K278" s="20"/>
      <c r="L278" s="19"/>
      <c r="M278" t="str">
        <f t="shared" si="23"/>
        <v/>
      </c>
      <c r="N278" t="str">
        <f t="shared" si="24"/>
        <v/>
      </c>
    </row>
    <row r="279" spans="1:14" x14ac:dyDescent="0.25">
      <c r="A279" s="4" t="s">
        <v>180</v>
      </c>
      <c r="B279" s="1"/>
      <c r="C279" s="5" t="s">
        <v>5</v>
      </c>
      <c r="D279" s="13" t="s">
        <v>422</v>
      </c>
      <c r="E279" s="30"/>
      <c r="F279" s="43"/>
      <c r="G279" s="20">
        <f t="shared" si="21"/>
        <v>1</v>
      </c>
      <c r="H279" s="18"/>
      <c r="I279" s="19">
        <f t="shared" si="22"/>
        <v>1</v>
      </c>
      <c r="J279" s="19"/>
      <c r="K279" s="20"/>
      <c r="L279" s="19"/>
      <c r="M279" t="str">
        <f t="shared" si="23"/>
        <v/>
      </c>
      <c r="N279" t="str">
        <f t="shared" si="24"/>
        <v/>
      </c>
    </row>
    <row r="280" spans="1:14" x14ac:dyDescent="0.25">
      <c r="A280" s="2" t="s">
        <v>109</v>
      </c>
      <c r="B280" s="21"/>
      <c r="C280" s="3"/>
      <c r="D280" s="14"/>
      <c r="E280" s="31"/>
      <c r="F280" s="45" t="s">
        <v>679</v>
      </c>
      <c r="G280" s="20">
        <f t="shared" si="21"/>
        <v>1</v>
      </c>
      <c r="H280" s="18"/>
      <c r="I280" s="19">
        <f t="shared" si="22"/>
        <v>0</v>
      </c>
      <c r="J280" s="19"/>
      <c r="K280" s="20"/>
      <c r="L280" s="19"/>
      <c r="M280" t="str">
        <f t="shared" si="23"/>
        <v/>
      </c>
      <c r="N280" t="str">
        <f t="shared" si="24"/>
        <v/>
      </c>
    </row>
    <row r="281" spans="1:14" x14ac:dyDescent="0.25">
      <c r="A281" s="4" t="s">
        <v>110</v>
      </c>
      <c r="B281" s="1"/>
      <c r="C281" s="5" t="s">
        <v>5</v>
      </c>
      <c r="D281" s="13" t="s">
        <v>424</v>
      </c>
      <c r="E281" s="30"/>
      <c r="F281" s="43"/>
      <c r="G281" s="20">
        <f t="shared" si="21"/>
        <v>1</v>
      </c>
      <c r="H281" s="18"/>
      <c r="I281" s="19">
        <f t="shared" si="22"/>
        <v>1</v>
      </c>
      <c r="J281" s="19"/>
      <c r="K281" s="20"/>
      <c r="L281" s="19"/>
      <c r="M281" t="str">
        <f t="shared" si="23"/>
        <v/>
      </c>
      <c r="N281" t="str">
        <f t="shared" si="24"/>
        <v/>
      </c>
    </row>
    <row r="282" spans="1:14" x14ac:dyDescent="0.25">
      <c r="A282" s="4" t="s">
        <v>514</v>
      </c>
      <c r="B282" s="1"/>
      <c r="C282" s="5" t="s">
        <v>5</v>
      </c>
      <c r="D282" s="13" t="s">
        <v>513</v>
      </c>
      <c r="E282" s="30"/>
      <c r="F282" s="43"/>
      <c r="G282" s="20">
        <f t="shared" si="21"/>
        <v>1</v>
      </c>
      <c r="H282" s="18"/>
      <c r="I282" s="19">
        <f t="shared" si="22"/>
        <v>1</v>
      </c>
      <c r="J282" s="19"/>
      <c r="K282" s="20"/>
      <c r="L282" s="19"/>
      <c r="M282" t="str">
        <f t="shared" si="23"/>
        <v/>
      </c>
      <c r="N282" t="str">
        <f t="shared" si="24"/>
        <v/>
      </c>
    </row>
    <row r="283" spans="1:14" x14ac:dyDescent="0.25">
      <c r="A283" s="4" t="s">
        <v>526</v>
      </c>
      <c r="B283" s="1"/>
      <c r="C283" s="5" t="s">
        <v>5</v>
      </c>
      <c r="D283" s="13" t="s">
        <v>523</v>
      </c>
      <c r="E283" s="30">
        <v>15</v>
      </c>
      <c r="F283" s="43">
        <v>12</v>
      </c>
      <c r="G283" s="20">
        <f t="shared" si="21"/>
        <v>1</v>
      </c>
      <c r="H283" s="18"/>
      <c r="I283" s="19">
        <f t="shared" si="22"/>
        <v>1</v>
      </c>
      <c r="J283" s="19"/>
      <c r="K283" s="20"/>
      <c r="L283" s="19"/>
      <c r="M283" t="str">
        <f t="shared" si="23"/>
        <v/>
      </c>
      <c r="N283" t="str">
        <f t="shared" si="24"/>
        <v/>
      </c>
    </row>
    <row r="284" spans="1:14" x14ac:dyDescent="0.25">
      <c r="A284" s="4" t="s">
        <v>438</v>
      </c>
      <c r="B284" s="1"/>
      <c r="C284" s="5" t="s">
        <v>303</v>
      </c>
      <c r="D284" s="13" t="s">
        <v>430</v>
      </c>
      <c r="E284" s="30">
        <v>12</v>
      </c>
      <c r="F284" s="43"/>
      <c r="G284" s="20">
        <f t="shared" si="21"/>
        <v>1</v>
      </c>
      <c r="H284" s="18"/>
      <c r="I284" s="19">
        <f t="shared" si="22"/>
        <v>1</v>
      </c>
      <c r="J284" s="19"/>
      <c r="K284" s="20"/>
      <c r="L284" s="19"/>
      <c r="M284" t="str">
        <f t="shared" si="23"/>
        <v/>
      </c>
      <c r="N284" t="str">
        <f t="shared" si="24"/>
        <v/>
      </c>
    </row>
    <row r="285" spans="1:14" x14ac:dyDescent="0.25">
      <c r="A285" s="4" t="s">
        <v>531</v>
      </c>
      <c r="B285" s="1"/>
      <c r="C285" s="5" t="s">
        <v>5</v>
      </c>
      <c r="D285" s="13" t="s">
        <v>523</v>
      </c>
      <c r="E285" s="30">
        <v>15</v>
      </c>
      <c r="F285" s="43">
        <v>20</v>
      </c>
      <c r="G285" s="20">
        <f t="shared" si="21"/>
        <v>1</v>
      </c>
      <c r="H285" s="18"/>
      <c r="I285" s="19">
        <f t="shared" si="22"/>
        <v>1</v>
      </c>
      <c r="J285" s="19"/>
      <c r="K285" s="20"/>
      <c r="L285" s="19"/>
      <c r="M285" t="str">
        <f t="shared" si="23"/>
        <v/>
      </c>
      <c r="N285" t="str">
        <f t="shared" si="24"/>
        <v/>
      </c>
    </row>
    <row r="286" spans="1:14" x14ac:dyDescent="0.25">
      <c r="A286" s="2" t="s">
        <v>337</v>
      </c>
      <c r="B286" s="21"/>
      <c r="C286" s="3"/>
      <c r="D286" s="14"/>
      <c r="E286" s="31"/>
      <c r="F286" s="45" t="s">
        <v>680</v>
      </c>
      <c r="G286" s="20">
        <f t="shared" si="21"/>
        <v>1</v>
      </c>
      <c r="H286" s="18"/>
      <c r="I286" s="19">
        <f t="shared" si="22"/>
        <v>0</v>
      </c>
      <c r="J286" s="19"/>
      <c r="K286" s="20"/>
      <c r="L286" s="19"/>
      <c r="M286" t="str">
        <f t="shared" si="23"/>
        <v/>
      </c>
      <c r="N286" t="str">
        <f t="shared" si="24"/>
        <v/>
      </c>
    </row>
    <row r="287" spans="1:14" x14ac:dyDescent="0.25">
      <c r="A287" s="4" t="s">
        <v>111</v>
      </c>
      <c r="B287" s="1"/>
      <c r="C287" s="5" t="s">
        <v>5</v>
      </c>
      <c r="D287" s="13" t="s">
        <v>422</v>
      </c>
      <c r="E287" s="30"/>
      <c r="F287" s="43"/>
      <c r="G287" s="20">
        <f t="shared" si="21"/>
        <v>1</v>
      </c>
      <c r="H287" s="18"/>
      <c r="I287" s="19">
        <f t="shared" si="22"/>
        <v>1</v>
      </c>
      <c r="J287" s="19"/>
      <c r="K287" s="20"/>
      <c r="L287" s="19"/>
      <c r="M287" t="str">
        <f t="shared" si="23"/>
        <v/>
      </c>
      <c r="N287" t="str">
        <f t="shared" si="24"/>
        <v/>
      </c>
    </row>
    <row r="288" spans="1:14" x14ac:dyDescent="0.25">
      <c r="A288" s="2" t="s">
        <v>385</v>
      </c>
      <c r="B288" s="21"/>
      <c r="C288" s="3"/>
      <c r="D288" s="14" t="s">
        <v>387</v>
      </c>
      <c r="E288" s="31"/>
      <c r="F288" s="45" t="s">
        <v>681</v>
      </c>
      <c r="G288" s="20">
        <f t="shared" si="21"/>
        <v>1</v>
      </c>
      <c r="H288" s="18"/>
      <c r="I288" s="19">
        <f t="shared" si="22"/>
        <v>0</v>
      </c>
      <c r="J288" s="19"/>
      <c r="K288" s="20"/>
      <c r="L288" s="19"/>
      <c r="M288" t="str">
        <f t="shared" si="23"/>
        <v/>
      </c>
      <c r="N288" t="str">
        <f t="shared" si="24"/>
        <v/>
      </c>
    </row>
    <row r="289" spans="1:14" x14ac:dyDescent="0.25">
      <c r="A289" s="2" t="s">
        <v>334</v>
      </c>
      <c r="B289" s="21"/>
      <c r="C289" s="3"/>
      <c r="D289" s="14" t="s">
        <v>386</v>
      </c>
      <c r="E289" s="31"/>
      <c r="F289" s="45" t="s">
        <v>682</v>
      </c>
      <c r="G289" s="20">
        <f t="shared" si="21"/>
        <v>1</v>
      </c>
      <c r="H289" s="18"/>
      <c r="I289" s="19">
        <f t="shared" si="22"/>
        <v>0</v>
      </c>
      <c r="J289" s="19"/>
      <c r="K289" s="20"/>
      <c r="L289" s="19"/>
    </row>
    <row r="290" spans="1:14" x14ac:dyDescent="0.25">
      <c r="A290" s="4" t="s">
        <v>112</v>
      </c>
      <c r="B290" s="1"/>
      <c r="C290" s="5" t="s">
        <v>5</v>
      </c>
      <c r="D290" s="13" t="s">
        <v>422</v>
      </c>
      <c r="E290" s="30"/>
      <c r="F290" s="43"/>
      <c r="G290" s="20">
        <f t="shared" si="21"/>
        <v>1</v>
      </c>
      <c r="H290" s="18"/>
      <c r="I290" s="19">
        <f t="shared" si="22"/>
        <v>1</v>
      </c>
      <c r="J290" s="19"/>
      <c r="K290" s="20"/>
      <c r="L290" s="19"/>
    </row>
    <row r="291" spans="1:14" x14ac:dyDescent="0.25">
      <c r="A291" s="4" t="s">
        <v>234</v>
      </c>
      <c r="B291" s="1"/>
      <c r="C291" s="5" t="s">
        <v>5</v>
      </c>
      <c r="D291" s="13"/>
      <c r="E291" s="30"/>
      <c r="F291" s="43"/>
      <c r="G291" s="20">
        <f t="shared" si="21"/>
        <v>1</v>
      </c>
      <c r="H291" s="18"/>
      <c r="I291" s="19">
        <f t="shared" si="22"/>
        <v>1</v>
      </c>
      <c r="J291" s="19"/>
      <c r="K291" s="20"/>
      <c r="L291" s="19"/>
      <c r="M291" t="str">
        <f t="shared" si="23"/>
        <v/>
      </c>
      <c r="N291" t="str">
        <f t="shared" si="24"/>
        <v/>
      </c>
    </row>
    <row r="292" spans="1:14" x14ac:dyDescent="0.25">
      <c r="A292" s="2" t="s">
        <v>113</v>
      </c>
      <c r="B292" s="21"/>
      <c r="C292" s="6"/>
      <c r="D292" s="14"/>
      <c r="E292" s="31"/>
      <c r="F292" s="45" t="s">
        <v>683</v>
      </c>
      <c r="G292" s="20">
        <f t="shared" si="21"/>
        <v>1</v>
      </c>
      <c r="H292" s="18"/>
      <c r="I292" s="19">
        <f t="shared" si="22"/>
        <v>0</v>
      </c>
      <c r="J292" s="19"/>
      <c r="K292" s="20"/>
      <c r="L292" s="19"/>
      <c r="M292" t="str">
        <f t="shared" si="23"/>
        <v/>
      </c>
      <c r="N292" t="str">
        <f t="shared" si="24"/>
        <v/>
      </c>
    </row>
    <row r="293" spans="1:14" x14ac:dyDescent="0.25">
      <c r="A293" s="2" t="s">
        <v>114</v>
      </c>
      <c r="B293" s="21"/>
      <c r="C293" s="3"/>
      <c r="D293" s="14"/>
      <c r="E293" s="31"/>
      <c r="F293" s="45" t="s">
        <v>684</v>
      </c>
      <c r="G293" s="20">
        <f t="shared" si="21"/>
        <v>1</v>
      </c>
      <c r="H293" s="18"/>
      <c r="I293" s="19">
        <f t="shared" si="22"/>
        <v>0</v>
      </c>
      <c r="J293" s="19"/>
      <c r="K293" s="20"/>
      <c r="L293" s="19"/>
      <c r="M293" t="str">
        <f t="shared" si="23"/>
        <v/>
      </c>
      <c r="N293" t="str">
        <f t="shared" si="24"/>
        <v/>
      </c>
    </row>
    <row r="294" spans="1:14" x14ac:dyDescent="0.25">
      <c r="A294" s="2" t="s">
        <v>115</v>
      </c>
      <c r="B294" s="21"/>
      <c r="C294" s="3"/>
      <c r="D294" s="14"/>
      <c r="E294" s="31"/>
      <c r="F294" s="45" t="s">
        <v>685</v>
      </c>
      <c r="G294" s="20">
        <f t="shared" si="21"/>
        <v>1</v>
      </c>
      <c r="H294" s="18"/>
      <c r="I294" s="19">
        <f t="shared" si="22"/>
        <v>0</v>
      </c>
      <c r="J294" s="19"/>
      <c r="K294" s="20"/>
      <c r="L294" s="19"/>
      <c r="M294" t="str">
        <f t="shared" si="23"/>
        <v/>
      </c>
      <c r="N294" t="str">
        <f t="shared" si="24"/>
        <v/>
      </c>
    </row>
    <row r="295" spans="1:14" x14ac:dyDescent="0.25">
      <c r="A295" s="2" t="s">
        <v>396</v>
      </c>
      <c r="B295" s="21"/>
      <c r="C295" s="3"/>
      <c r="D295" s="14"/>
      <c r="E295" s="31"/>
      <c r="F295" s="45" t="s">
        <v>686</v>
      </c>
      <c r="G295" s="20">
        <f t="shared" si="21"/>
        <v>1</v>
      </c>
      <c r="H295" s="18"/>
      <c r="I295" s="19">
        <f t="shared" si="22"/>
        <v>0</v>
      </c>
      <c r="J295" s="19"/>
      <c r="K295" s="20"/>
      <c r="L295" s="19"/>
      <c r="M295" t="str">
        <f t="shared" si="23"/>
        <v/>
      </c>
      <c r="N295" t="str">
        <f t="shared" si="24"/>
        <v/>
      </c>
    </row>
    <row r="296" spans="1:14" x14ac:dyDescent="0.25">
      <c r="A296" s="2" t="s">
        <v>278</v>
      </c>
      <c r="B296" s="21"/>
      <c r="C296" s="3"/>
      <c r="D296" s="14"/>
      <c r="E296" s="31"/>
      <c r="F296" s="45" t="s">
        <v>687</v>
      </c>
      <c r="G296" s="20">
        <f t="shared" si="21"/>
        <v>1</v>
      </c>
      <c r="H296" s="18"/>
      <c r="I296" s="19">
        <f t="shared" si="22"/>
        <v>0</v>
      </c>
      <c r="J296" s="19"/>
      <c r="K296" s="20"/>
      <c r="L296" s="19"/>
      <c r="M296" t="str">
        <f t="shared" si="23"/>
        <v/>
      </c>
      <c r="N296" t="str">
        <f t="shared" si="24"/>
        <v/>
      </c>
    </row>
    <row r="297" spans="1:14" x14ac:dyDescent="0.25">
      <c r="A297" s="4" t="s">
        <v>341</v>
      </c>
      <c r="B297" s="1"/>
      <c r="C297" s="5" t="s">
        <v>5</v>
      </c>
      <c r="D297" s="13" t="s">
        <v>493</v>
      </c>
      <c r="E297" s="30">
        <v>11.41</v>
      </c>
      <c r="F297" s="43"/>
      <c r="G297" s="20">
        <f t="shared" si="21"/>
        <v>1</v>
      </c>
      <c r="H297" s="18"/>
      <c r="I297" s="19">
        <f t="shared" si="22"/>
        <v>1</v>
      </c>
      <c r="J297" s="19"/>
      <c r="K297" s="20"/>
      <c r="L297" s="19"/>
      <c r="M297" t="str">
        <f t="shared" si="23"/>
        <v/>
      </c>
      <c r="N297" t="str">
        <f t="shared" si="24"/>
        <v/>
      </c>
    </row>
    <row r="298" spans="1:14" x14ac:dyDescent="0.25">
      <c r="A298" s="4" t="s">
        <v>453</v>
      </c>
      <c r="B298" s="1">
        <v>3</v>
      </c>
      <c r="C298" s="5" t="s">
        <v>5</v>
      </c>
      <c r="D298" s="13" t="s">
        <v>473</v>
      </c>
      <c r="E298" s="30"/>
      <c r="F298" s="43"/>
      <c r="G298" s="20">
        <f t="shared" si="21"/>
        <v>1</v>
      </c>
      <c r="H298" s="18"/>
      <c r="I298" s="19">
        <f t="shared" si="22"/>
        <v>1</v>
      </c>
      <c r="J298" s="19"/>
      <c r="K298" s="20"/>
      <c r="L298" s="19"/>
      <c r="M298" t="str">
        <f t="shared" si="23"/>
        <v/>
      </c>
      <c r="N298" t="str">
        <f t="shared" si="24"/>
        <v/>
      </c>
    </row>
    <row r="299" spans="1:14" x14ac:dyDescent="0.25">
      <c r="A299" s="2" t="s">
        <v>270</v>
      </c>
      <c r="B299" s="21"/>
      <c r="C299" s="3"/>
      <c r="D299" s="14"/>
      <c r="E299" s="31"/>
      <c r="F299" s="45" t="s">
        <v>688</v>
      </c>
      <c r="G299" s="20">
        <f t="shared" si="21"/>
        <v>1</v>
      </c>
      <c r="H299" s="18"/>
      <c r="I299" s="19">
        <f t="shared" si="22"/>
        <v>0</v>
      </c>
      <c r="J299" s="19"/>
      <c r="K299" s="20"/>
      <c r="L299" s="19"/>
      <c r="M299" t="str">
        <f t="shared" si="23"/>
        <v/>
      </c>
      <c r="N299" t="str">
        <f t="shared" si="24"/>
        <v/>
      </c>
    </row>
    <row r="300" spans="1:14" x14ac:dyDescent="0.25">
      <c r="A300" s="4" t="s">
        <v>362</v>
      </c>
      <c r="B300" s="1"/>
      <c r="C300" s="5" t="s">
        <v>5</v>
      </c>
      <c r="D300" s="13"/>
      <c r="E300" s="30"/>
      <c r="F300" s="43"/>
      <c r="G300" s="20">
        <f t="shared" si="21"/>
        <v>1</v>
      </c>
      <c r="H300" s="18"/>
      <c r="I300" s="19">
        <f t="shared" si="22"/>
        <v>1</v>
      </c>
      <c r="J300" s="19"/>
      <c r="K300" s="20"/>
      <c r="L300" s="19"/>
      <c r="M300" t="str">
        <f t="shared" si="23"/>
        <v/>
      </c>
      <c r="N300" t="str">
        <f t="shared" si="24"/>
        <v/>
      </c>
    </row>
    <row r="301" spans="1:14" x14ac:dyDescent="0.25">
      <c r="A301" s="4" t="s">
        <v>389</v>
      </c>
      <c r="B301" s="1"/>
      <c r="C301" s="5" t="s">
        <v>5</v>
      </c>
      <c r="D301" s="13" t="s">
        <v>422</v>
      </c>
      <c r="E301" s="30"/>
      <c r="F301" s="43"/>
      <c r="G301" s="20">
        <f t="shared" si="21"/>
        <v>1</v>
      </c>
      <c r="H301" s="18"/>
      <c r="I301" s="19">
        <f t="shared" si="22"/>
        <v>1</v>
      </c>
      <c r="J301" s="19"/>
      <c r="K301" s="20"/>
      <c r="L301" s="19"/>
      <c r="M301" t="str">
        <f t="shared" si="23"/>
        <v/>
      </c>
      <c r="N301" t="str">
        <f t="shared" si="24"/>
        <v/>
      </c>
    </row>
    <row r="302" spans="1:14" x14ac:dyDescent="0.25">
      <c r="A302" s="34" t="s">
        <v>541</v>
      </c>
      <c r="B302" s="25"/>
      <c r="C302" s="35"/>
      <c r="D302" s="36"/>
      <c r="E302" s="37"/>
      <c r="F302" s="70" t="s">
        <v>689</v>
      </c>
      <c r="G302" s="20">
        <f t="shared" si="21"/>
        <v>1</v>
      </c>
      <c r="H302" s="18"/>
      <c r="I302" s="19">
        <f t="shared" si="22"/>
        <v>0</v>
      </c>
      <c r="J302" s="19"/>
      <c r="K302" s="20"/>
      <c r="L302" s="19"/>
      <c r="M302" t="str">
        <f t="shared" si="23"/>
        <v/>
      </c>
      <c r="N302" t="str">
        <f t="shared" si="24"/>
        <v/>
      </c>
    </row>
    <row r="303" spans="1:14" x14ac:dyDescent="0.25">
      <c r="A303" s="2" t="s">
        <v>795</v>
      </c>
      <c r="B303" s="21"/>
      <c r="C303" s="3"/>
      <c r="D303" s="14" t="s">
        <v>690</v>
      </c>
      <c r="E303" s="31"/>
      <c r="F303" s="45" t="s">
        <v>796</v>
      </c>
      <c r="G303" s="20">
        <f t="shared" ref="G303" si="25">COUNTA(A303)</f>
        <v>1</v>
      </c>
      <c r="H303" s="18"/>
      <c r="I303" s="19">
        <f t="shared" ref="I303" si="26">COUNTA(C303)</f>
        <v>0</v>
      </c>
      <c r="J303" s="19"/>
      <c r="K303" s="20"/>
      <c r="L303" s="19"/>
      <c r="M303" t="str">
        <f t="shared" ref="M303" si="27">IF(B303=1,E303,"")</f>
        <v/>
      </c>
      <c r="N303" t="str">
        <f t="shared" ref="N303" si="28">IF(B303=2,E303,"")</f>
        <v/>
      </c>
    </row>
    <row r="304" spans="1:14" x14ac:dyDescent="0.25">
      <c r="A304" s="4" t="s">
        <v>15</v>
      </c>
      <c r="B304" s="1"/>
      <c r="C304" s="5" t="s">
        <v>5</v>
      </c>
      <c r="D304" s="13"/>
      <c r="E304" s="30"/>
      <c r="F304" s="43"/>
      <c r="G304" s="20">
        <f t="shared" si="21"/>
        <v>1</v>
      </c>
      <c r="H304" s="18"/>
      <c r="I304" s="19">
        <f t="shared" si="22"/>
        <v>1</v>
      </c>
      <c r="J304" s="19"/>
      <c r="K304" s="20"/>
      <c r="L304" s="19"/>
      <c r="M304" t="str">
        <f t="shared" si="23"/>
        <v/>
      </c>
      <c r="N304" t="str">
        <f t="shared" si="24"/>
        <v/>
      </c>
    </row>
    <row r="305" spans="1:14" x14ac:dyDescent="0.25">
      <c r="A305" s="4" t="s">
        <v>11</v>
      </c>
      <c r="B305" s="1"/>
      <c r="C305" s="5" t="s">
        <v>5</v>
      </c>
      <c r="D305" s="13"/>
      <c r="E305" s="30"/>
      <c r="F305" s="43"/>
      <c r="G305" s="20">
        <f t="shared" si="21"/>
        <v>1</v>
      </c>
      <c r="H305" s="18"/>
      <c r="I305" s="19">
        <f t="shared" si="22"/>
        <v>1</v>
      </c>
      <c r="J305" s="19"/>
      <c r="K305" s="20"/>
      <c r="L305" s="19"/>
      <c r="M305" t="str">
        <f t="shared" si="23"/>
        <v/>
      </c>
      <c r="N305" t="str">
        <f t="shared" si="24"/>
        <v/>
      </c>
    </row>
    <row r="306" spans="1:14" x14ac:dyDescent="0.25">
      <c r="A306" s="2" t="s">
        <v>325</v>
      </c>
      <c r="B306" s="21"/>
      <c r="C306" s="3"/>
      <c r="D306" s="14" t="s">
        <v>690</v>
      </c>
      <c r="E306" s="31"/>
      <c r="F306" s="45" t="s">
        <v>692</v>
      </c>
      <c r="G306" s="20">
        <f t="shared" si="21"/>
        <v>1</v>
      </c>
      <c r="H306" s="18"/>
      <c r="I306" s="19">
        <f t="shared" si="22"/>
        <v>0</v>
      </c>
      <c r="J306" s="19"/>
      <c r="K306" s="20"/>
      <c r="L306" s="19"/>
      <c r="M306" t="str">
        <f t="shared" si="23"/>
        <v/>
      </c>
      <c r="N306" t="str">
        <f t="shared" si="24"/>
        <v/>
      </c>
    </row>
    <row r="307" spans="1:14" x14ac:dyDescent="0.25">
      <c r="A307" s="2" t="s">
        <v>209</v>
      </c>
      <c r="B307" s="21"/>
      <c r="C307" s="3"/>
      <c r="D307" s="14"/>
      <c r="E307" s="31"/>
      <c r="F307" s="45" t="s">
        <v>693</v>
      </c>
      <c r="G307" s="20">
        <f t="shared" si="21"/>
        <v>1</v>
      </c>
      <c r="H307" s="18"/>
      <c r="I307" s="19">
        <f t="shared" si="22"/>
        <v>0</v>
      </c>
      <c r="J307" s="19"/>
      <c r="K307" s="20"/>
      <c r="L307" s="19"/>
      <c r="M307" t="str">
        <f t="shared" si="23"/>
        <v/>
      </c>
      <c r="N307" t="str">
        <f t="shared" si="24"/>
        <v/>
      </c>
    </row>
    <row r="308" spans="1:14" x14ac:dyDescent="0.25">
      <c r="A308" s="2" t="s">
        <v>348</v>
      </c>
      <c r="B308" s="21"/>
      <c r="C308" s="3"/>
      <c r="D308" s="14"/>
      <c r="E308" s="31"/>
      <c r="F308" s="45" t="s">
        <v>694</v>
      </c>
      <c r="G308" s="20">
        <f t="shared" si="21"/>
        <v>1</v>
      </c>
      <c r="H308" s="18"/>
      <c r="I308" s="19">
        <f t="shared" si="22"/>
        <v>0</v>
      </c>
      <c r="J308" s="19"/>
      <c r="K308" s="20"/>
      <c r="L308" s="19"/>
      <c r="M308" t="str">
        <f t="shared" si="23"/>
        <v/>
      </c>
      <c r="N308" t="str">
        <f t="shared" si="24"/>
        <v/>
      </c>
    </row>
    <row r="309" spans="1:14" x14ac:dyDescent="0.25">
      <c r="A309" s="2" t="s">
        <v>794</v>
      </c>
      <c r="B309" s="21"/>
      <c r="C309" s="3"/>
      <c r="D309" s="14"/>
      <c r="E309" s="31"/>
      <c r="F309" s="45" t="s">
        <v>695</v>
      </c>
      <c r="G309" s="20">
        <f t="shared" si="21"/>
        <v>1</v>
      </c>
      <c r="H309" s="18"/>
      <c r="I309" s="19">
        <f t="shared" si="22"/>
        <v>0</v>
      </c>
      <c r="J309" s="19"/>
      <c r="K309" s="20"/>
      <c r="L309" s="19"/>
      <c r="M309" t="str">
        <f t="shared" si="23"/>
        <v/>
      </c>
      <c r="N309" t="str">
        <f t="shared" si="24"/>
        <v/>
      </c>
    </row>
    <row r="310" spans="1:14" x14ac:dyDescent="0.25">
      <c r="A310" s="4" t="s">
        <v>336</v>
      </c>
      <c r="B310" s="1"/>
      <c r="C310" s="5" t="s">
        <v>5</v>
      </c>
      <c r="D310" s="13"/>
      <c r="E310" s="30"/>
      <c r="F310" s="43"/>
      <c r="G310" s="20">
        <f t="shared" si="21"/>
        <v>1</v>
      </c>
      <c r="H310" s="18"/>
      <c r="I310" s="19">
        <f t="shared" si="22"/>
        <v>1</v>
      </c>
      <c r="J310" s="19"/>
      <c r="K310" s="20"/>
      <c r="L310" s="19"/>
      <c r="M310" t="str">
        <f t="shared" si="23"/>
        <v/>
      </c>
      <c r="N310" t="str">
        <f t="shared" si="24"/>
        <v/>
      </c>
    </row>
    <row r="311" spans="1:14" x14ac:dyDescent="0.25">
      <c r="A311" s="4" t="s">
        <v>12</v>
      </c>
      <c r="B311" s="1"/>
      <c r="C311" s="5" t="s">
        <v>5</v>
      </c>
      <c r="D311" s="13"/>
      <c r="E311" s="30"/>
      <c r="F311" s="43"/>
      <c r="G311" s="20">
        <f t="shared" si="21"/>
        <v>1</v>
      </c>
      <c r="H311" s="18"/>
      <c r="I311" s="19">
        <f t="shared" si="22"/>
        <v>1</v>
      </c>
      <c r="J311" s="19"/>
      <c r="K311" s="20"/>
      <c r="L311" s="19"/>
      <c r="M311" t="str">
        <f t="shared" si="23"/>
        <v/>
      </c>
      <c r="N311" t="str">
        <f t="shared" si="24"/>
        <v/>
      </c>
    </row>
    <row r="312" spans="1:14" x14ac:dyDescent="0.25">
      <c r="A312" s="2" t="s">
        <v>359</v>
      </c>
      <c r="B312" s="21"/>
      <c r="C312" s="3"/>
      <c r="D312" s="14"/>
      <c r="E312" s="31"/>
      <c r="F312" s="45" t="s">
        <v>696</v>
      </c>
      <c r="G312" s="20">
        <f t="shared" si="21"/>
        <v>1</v>
      </c>
      <c r="H312" s="18"/>
      <c r="I312" s="19">
        <f t="shared" si="22"/>
        <v>0</v>
      </c>
      <c r="J312" s="19"/>
      <c r="K312" s="20"/>
      <c r="L312" s="19"/>
      <c r="M312" t="str">
        <f t="shared" si="23"/>
        <v/>
      </c>
      <c r="N312" t="str">
        <f t="shared" si="24"/>
        <v/>
      </c>
    </row>
    <row r="313" spans="1:14" x14ac:dyDescent="0.25">
      <c r="A313" s="2" t="s">
        <v>339</v>
      </c>
      <c r="B313" s="21"/>
      <c r="C313" s="3"/>
      <c r="D313" s="14"/>
      <c r="E313" s="31"/>
      <c r="F313" s="45" t="s">
        <v>697</v>
      </c>
      <c r="G313" s="20">
        <f t="shared" si="21"/>
        <v>1</v>
      </c>
      <c r="H313" s="18"/>
      <c r="I313" s="19">
        <f t="shared" si="22"/>
        <v>0</v>
      </c>
      <c r="J313" s="19"/>
      <c r="K313" s="20"/>
      <c r="L313" s="19"/>
      <c r="M313" t="str">
        <f t="shared" si="23"/>
        <v/>
      </c>
      <c r="N313" t="str">
        <f t="shared" si="24"/>
        <v/>
      </c>
    </row>
    <row r="314" spans="1:14" x14ac:dyDescent="0.25">
      <c r="A314" s="2" t="s">
        <v>280</v>
      </c>
      <c r="B314" s="21"/>
      <c r="C314" s="3"/>
      <c r="D314" s="14"/>
      <c r="E314" s="31"/>
      <c r="F314" s="45" t="s">
        <v>698</v>
      </c>
      <c r="G314" s="20">
        <f t="shared" si="21"/>
        <v>1</v>
      </c>
      <c r="H314" s="18"/>
      <c r="I314" s="19">
        <f t="shared" si="22"/>
        <v>0</v>
      </c>
      <c r="J314" s="19"/>
      <c r="K314" s="20"/>
      <c r="L314" s="19"/>
      <c r="M314" t="str">
        <f t="shared" si="23"/>
        <v/>
      </c>
      <c r="N314" t="str">
        <f t="shared" si="24"/>
        <v/>
      </c>
    </row>
    <row r="315" spans="1:14" x14ac:dyDescent="0.25">
      <c r="A315" s="2" t="s">
        <v>350</v>
      </c>
      <c r="B315" s="21"/>
      <c r="C315" s="3"/>
      <c r="D315" s="14"/>
      <c r="E315" s="31"/>
      <c r="F315" s="45" t="s">
        <v>699</v>
      </c>
      <c r="G315" s="20">
        <f t="shared" si="21"/>
        <v>1</v>
      </c>
      <c r="H315" s="18"/>
      <c r="I315" s="19">
        <f t="shared" si="22"/>
        <v>0</v>
      </c>
      <c r="J315" s="19"/>
      <c r="K315" s="20"/>
      <c r="L315" s="19"/>
      <c r="M315" t="str">
        <f t="shared" si="23"/>
        <v/>
      </c>
      <c r="N315" t="str">
        <f t="shared" si="24"/>
        <v/>
      </c>
    </row>
    <row r="316" spans="1:14" x14ac:dyDescent="0.25">
      <c r="A316" s="2" t="s">
        <v>484</v>
      </c>
      <c r="B316" s="21"/>
      <c r="C316" s="3"/>
      <c r="D316" s="14"/>
      <c r="E316" s="31"/>
      <c r="F316" s="45" t="s">
        <v>700</v>
      </c>
      <c r="G316" s="20">
        <f t="shared" si="21"/>
        <v>1</v>
      </c>
      <c r="H316" s="18"/>
      <c r="I316" s="19">
        <f t="shared" si="22"/>
        <v>0</v>
      </c>
      <c r="J316" s="19"/>
      <c r="K316" s="20"/>
      <c r="L316" s="19"/>
      <c r="M316" t="str">
        <f t="shared" si="23"/>
        <v/>
      </c>
      <c r="N316" t="str">
        <f t="shared" si="24"/>
        <v/>
      </c>
    </row>
    <row r="317" spans="1:14" x14ac:dyDescent="0.25">
      <c r="A317" s="4" t="s">
        <v>210</v>
      </c>
      <c r="B317" s="1"/>
      <c r="C317" s="5" t="s">
        <v>5</v>
      </c>
      <c r="D317" s="13" t="s">
        <v>430</v>
      </c>
      <c r="E317" s="30">
        <v>15</v>
      </c>
      <c r="F317" s="43"/>
      <c r="G317" s="20">
        <f t="shared" si="21"/>
        <v>1</v>
      </c>
      <c r="H317" s="18"/>
      <c r="I317" s="19">
        <f t="shared" si="22"/>
        <v>1</v>
      </c>
      <c r="J317" s="19"/>
      <c r="K317" s="20"/>
      <c r="L317" s="19"/>
      <c r="M317" t="str">
        <f t="shared" si="23"/>
        <v/>
      </c>
      <c r="N317" t="str">
        <f t="shared" si="24"/>
        <v/>
      </c>
    </row>
    <row r="318" spans="1:14" x14ac:dyDescent="0.25">
      <c r="A318" s="2" t="s">
        <v>285</v>
      </c>
      <c r="B318" s="21"/>
      <c r="C318" s="3"/>
      <c r="D318" s="14"/>
      <c r="E318" s="31"/>
      <c r="F318" s="45" t="s">
        <v>701</v>
      </c>
      <c r="G318" s="20">
        <f t="shared" si="21"/>
        <v>1</v>
      </c>
      <c r="H318" s="18"/>
      <c r="I318" s="19">
        <f t="shared" si="22"/>
        <v>0</v>
      </c>
      <c r="J318" s="19"/>
      <c r="K318" s="20"/>
      <c r="L318" s="19"/>
      <c r="M318" t="str">
        <f t="shared" si="23"/>
        <v/>
      </c>
      <c r="N318" t="str">
        <f t="shared" si="24"/>
        <v/>
      </c>
    </row>
    <row r="319" spans="1:14" x14ac:dyDescent="0.25">
      <c r="A319" s="2" t="s">
        <v>284</v>
      </c>
      <c r="B319" s="21"/>
      <c r="C319" s="3"/>
      <c r="D319" s="14"/>
      <c r="E319" s="31"/>
      <c r="F319" s="45" t="s">
        <v>702</v>
      </c>
      <c r="G319" s="20">
        <f t="shared" si="21"/>
        <v>1</v>
      </c>
      <c r="H319" s="18"/>
      <c r="I319" s="19">
        <f t="shared" si="22"/>
        <v>0</v>
      </c>
      <c r="J319" s="19"/>
      <c r="K319" s="20"/>
      <c r="L319" s="19"/>
      <c r="M319" t="str">
        <f t="shared" si="23"/>
        <v/>
      </c>
      <c r="N319" t="str">
        <f t="shared" si="24"/>
        <v/>
      </c>
    </row>
    <row r="320" spans="1:14" x14ac:dyDescent="0.25">
      <c r="A320" s="2" t="s">
        <v>441</v>
      </c>
      <c r="B320" s="21"/>
      <c r="C320" s="3"/>
      <c r="D320" s="14"/>
      <c r="E320" s="31"/>
      <c r="F320" s="45" t="s">
        <v>703</v>
      </c>
      <c r="G320" s="20">
        <f t="shared" si="21"/>
        <v>1</v>
      </c>
      <c r="H320" s="18"/>
      <c r="I320" s="19">
        <f t="shared" si="22"/>
        <v>0</v>
      </c>
      <c r="J320" s="19"/>
      <c r="K320" s="20"/>
      <c r="L320" s="19"/>
      <c r="M320" t="str">
        <f t="shared" si="23"/>
        <v/>
      </c>
      <c r="N320" t="str">
        <f t="shared" si="24"/>
        <v/>
      </c>
    </row>
    <row r="321" spans="1:14" x14ac:dyDescent="0.25">
      <c r="A321" s="2" t="s">
        <v>221</v>
      </c>
      <c r="B321" s="21"/>
      <c r="C321" s="3"/>
      <c r="D321" s="14" t="s">
        <v>465</v>
      </c>
      <c r="E321" s="31"/>
      <c r="F321" s="45" t="s">
        <v>704</v>
      </c>
      <c r="G321" s="20">
        <f t="shared" si="21"/>
        <v>1</v>
      </c>
      <c r="H321" s="18"/>
      <c r="I321" s="19">
        <f t="shared" si="22"/>
        <v>0</v>
      </c>
      <c r="J321" s="19"/>
      <c r="K321" s="20"/>
      <c r="L321" s="19"/>
      <c r="M321" t="str">
        <f t="shared" si="23"/>
        <v/>
      </c>
      <c r="N321" t="str">
        <f t="shared" si="24"/>
        <v/>
      </c>
    </row>
    <row r="322" spans="1:14" x14ac:dyDescent="0.25">
      <c r="A322" s="2" t="s">
        <v>222</v>
      </c>
      <c r="B322" s="21"/>
      <c r="C322" s="3"/>
      <c r="D322" s="14"/>
      <c r="E322" s="31"/>
      <c r="F322" s="45" t="s">
        <v>705</v>
      </c>
      <c r="G322" s="20">
        <f t="shared" si="21"/>
        <v>1</v>
      </c>
      <c r="H322" s="18"/>
      <c r="I322" s="19">
        <f t="shared" si="22"/>
        <v>0</v>
      </c>
      <c r="J322" s="19"/>
      <c r="K322" s="20"/>
      <c r="L322" s="19"/>
      <c r="M322" t="str">
        <f t="shared" si="23"/>
        <v/>
      </c>
      <c r="N322" t="str">
        <f t="shared" si="24"/>
        <v/>
      </c>
    </row>
    <row r="323" spans="1:14" x14ac:dyDescent="0.25">
      <c r="A323" s="4" t="s">
        <v>116</v>
      </c>
      <c r="B323" s="1"/>
      <c r="C323" s="5" t="s">
        <v>303</v>
      </c>
      <c r="D323" s="13" t="s">
        <v>430</v>
      </c>
      <c r="E323" s="30">
        <v>15</v>
      </c>
      <c r="F323" s="43"/>
      <c r="G323" s="20">
        <f t="shared" si="21"/>
        <v>1</v>
      </c>
      <c r="H323" s="18"/>
      <c r="I323" s="19">
        <f t="shared" si="22"/>
        <v>1</v>
      </c>
      <c r="J323" s="19"/>
      <c r="K323" s="20"/>
      <c r="L323" s="19"/>
      <c r="M323" t="str">
        <f t="shared" si="23"/>
        <v/>
      </c>
      <c r="N323" t="str">
        <f t="shared" si="24"/>
        <v/>
      </c>
    </row>
    <row r="324" spans="1:14" x14ac:dyDescent="0.25">
      <c r="A324" s="2" t="s">
        <v>499</v>
      </c>
      <c r="B324" s="21"/>
      <c r="C324" s="3"/>
      <c r="D324" s="14" t="s">
        <v>707</v>
      </c>
      <c r="E324" s="31"/>
      <c r="F324" s="45" t="s">
        <v>706</v>
      </c>
      <c r="G324" s="20">
        <f t="shared" si="21"/>
        <v>1</v>
      </c>
      <c r="H324" s="18"/>
      <c r="I324" s="19">
        <f t="shared" si="22"/>
        <v>0</v>
      </c>
      <c r="J324" s="19"/>
      <c r="K324" s="20"/>
      <c r="L324" s="19"/>
    </row>
    <row r="325" spans="1:14" x14ac:dyDescent="0.25">
      <c r="A325" s="2" t="s">
        <v>14</v>
      </c>
      <c r="B325" s="21"/>
      <c r="C325" s="3"/>
      <c r="D325" s="14"/>
      <c r="E325" s="31"/>
      <c r="F325" s="45" t="s">
        <v>708</v>
      </c>
      <c r="G325" s="20">
        <f t="shared" si="21"/>
        <v>1</v>
      </c>
      <c r="H325" s="18"/>
      <c r="I325" s="19">
        <f t="shared" si="22"/>
        <v>0</v>
      </c>
      <c r="J325" s="19"/>
      <c r="K325" s="20"/>
      <c r="L325" s="19"/>
      <c r="M325" t="str">
        <f t="shared" si="23"/>
        <v/>
      </c>
      <c r="N325" t="str">
        <f t="shared" si="24"/>
        <v/>
      </c>
    </row>
    <row r="326" spans="1:14" x14ac:dyDescent="0.25">
      <c r="A326" s="4" t="s">
        <v>244</v>
      </c>
      <c r="B326" s="1"/>
      <c r="C326" s="5" t="s">
        <v>5</v>
      </c>
      <c r="D326" s="13"/>
      <c r="E326" s="30"/>
      <c r="F326" s="43"/>
      <c r="G326" s="20">
        <f t="shared" si="21"/>
        <v>1</v>
      </c>
      <c r="H326" s="18"/>
      <c r="I326" s="19">
        <f t="shared" si="22"/>
        <v>1</v>
      </c>
      <c r="J326" s="19"/>
      <c r="K326" s="20"/>
      <c r="L326" s="19"/>
      <c r="M326" t="str">
        <f t="shared" si="23"/>
        <v/>
      </c>
      <c r="N326" t="str">
        <f t="shared" si="24"/>
        <v/>
      </c>
    </row>
    <row r="327" spans="1:14" x14ac:dyDescent="0.25">
      <c r="A327" s="4" t="s">
        <v>233</v>
      </c>
      <c r="B327" s="1"/>
      <c r="C327" s="5" t="s">
        <v>5</v>
      </c>
      <c r="D327" s="13"/>
      <c r="E327" s="30"/>
      <c r="F327" s="43"/>
      <c r="G327" s="20">
        <f t="shared" si="21"/>
        <v>1</v>
      </c>
      <c r="H327" s="18"/>
      <c r="I327" s="19">
        <f t="shared" si="22"/>
        <v>1</v>
      </c>
      <c r="J327" s="19"/>
      <c r="K327" s="20"/>
      <c r="L327" s="19"/>
      <c r="M327" t="str">
        <f t="shared" si="23"/>
        <v/>
      </c>
      <c r="N327" t="str">
        <f t="shared" si="24"/>
        <v/>
      </c>
    </row>
    <row r="328" spans="1:14" x14ac:dyDescent="0.25">
      <c r="A328" s="4" t="s">
        <v>444</v>
      </c>
      <c r="B328" s="1"/>
      <c r="C328" s="5" t="s">
        <v>5</v>
      </c>
      <c r="D328" s="13" t="s">
        <v>455</v>
      </c>
      <c r="E328" s="30">
        <v>12</v>
      </c>
      <c r="F328" s="43"/>
      <c r="G328" s="20">
        <f t="shared" si="21"/>
        <v>1</v>
      </c>
      <c r="H328" s="18"/>
      <c r="I328" s="19">
        <f t="shared" si="22"/>
        <v>1</v>
      </c>
      <c r="J328" s="19"/>
      <c r="K328" s="20"/>
      <c r="L328" s="19"/>
      <c r="M328" t="str">
        <f t="shared" si="23"/>
        <v/>
      </c>
      <c r="N328" t="str">
        <f t="shared" si="24"/>
        <v/>
      </c>
    </row>
    <row r="329" spans="1:14" x14ac:dyDescent="0.25">
      <c r="A329" s="2" t="s">
        <v>223</v>
      </c>
      <c r="B329" s="21"/>
      <c r="C329" s="3"/>
      <c r="D329" s="14"/>
      <c r="E329" s="31"/>
      <c r="F329" s="45" t="s">
        <v>709</v>
      </c>
      <c r="G329" s="20">
        <f t="shared" ref="G329:G391" si="29">COUNTA(A329)</f>
        <v>1</v>
      </c>
      <c r="H329" s="18"/>
      <c r="I329" s="19">
        <f t="shared" ref="I329:I391" si="30">COUNTA(C329)</f>
        <v>0</v>
      </c>
      <c r="J329" s="19"/>
      <c r="K329" s="20"/>
      <c r="L329" s="19"/>
      <c r="M329" t="str">
        <f t="shared" si="23"/>
        <v/>
      </c>
      <c r="N329" t="str">
        <f t="shared" si="24"/>
        <v/>
      </c>
    </row>
    <row r="330" spans="1:14" x14ac:dyDescent="0.25">
      <c r="A330" s="4" t="s">
        <v>117</v>
      </c>
      <c r="B330" s="1"/>
      <c r="C330" s="5" t="s">
        <v>5</v>
      </c>
      <c r="D330" s="13" t="s">
        <v>461</v>
      </c>
      <c r="E330" s="30">
        <v>23</v>
      </c>
      <c r="F330" s="43"/>
      <c r="G330" s="20">
        <f t="shared" si="29"/>
        <v>1</v>
      </c>
      <c r="H330" s="18"/>
      <c r="I330" s="19">
        <f t="shared" si="30"/>
        <v>1</v>
      </c>
      <c r="J330" s="19"/>
      <c r="K330" s="20"/>
      <c r="L330" s="19"/>
      <c r="M330" t="str">
        <f t="shared" si="23"/>
        <v/>
      </c>
      <c r="N330" t="str">
        <f t="shared" si="24"/>
        <v/>
      </c>
    </row>
    <row r="331" spans="1:14" x14ac:dyDescent="0.25">
      <c r="A331" s="2" t="s">
        <v>118</v>
      </c>
      <c r="B331" s="21"/>
      <c r="C331" s="3"/>
      <c r="D331" s="14"/>
      <c r="E331" s="31"/>
      <c r="F331" s="45" t="s">
        <v>710</v>
      </c>
      <c r="G331" s="20">
        <f t="shared" si="29"/>
        <v>1</v>
      </c>
      <c r="H331" s="18"/>
      <c r="I331" s="19">
        <f t="shared" si="30"/>
        <v>0</v>
      </c>
      <c r="J331" s="19"/>
      <c r="K331" s="20"/>
      <c r="L331" s="19"/>
      <c r="M331" t="str">
        <f t="shared" si="23"/>
        <v/>
      </c>
      <c r="N331" t="str">
        <f t="shared" si="24"/>
        <v/>
      </c>
    </row>
    <row r="332" spans="1:14" x14ac:dyDescent="0.25">
      <c r="A332" s="4" t="s">
        <v>119</v>
      </c>
      <c r="B332" s="1"/>
      <c r="C332" s="5" t="s">
        <v>5</v>
      </c>
      <c r="D332" s="13" t="s">
        <v>430</v>
      </c>
      <c r="E332" s="30">
        <v>25</v>
      </c>
      <c r="F332" s="43"/>
      <c r="G332" s="20">
        <f t="shared" si="29"/>
        <v>1</v>
      </c>
      <c r="H332" s="18"/>
      <c r="I332" s="19">
        <f t="shared" si="30"/>
        <v>1</v>
      </c>
      <c r="J332" s="19"/>
      <c r="K332" s="20"/>
      <c r="L332" s="19"/>
      <c r="M332" t="str">
        <f t="shared" si="23"/>
        <v/>
      </c>
      <c r="N332" t="str">
        <f t="shared" si="24"/>
        <v/>
      </c>
    </row>
    <row r="333" spans="1:14" x14ac:dyDescent="0.25">
      <c r="A333" s="4" t="s">
        <v>120</v>
      </c>
      <c r="B333" s="1"/>
      <c r="C333" s="5" t="s">
        <v>5</v>
      </c>
      <c r="D333" s="13"/>
      <c r="E333" s="30"/>
      <c r="F333" s="43"/>
      <c r="G333" s="20">
        <f t="shared" si="29"/>
        <v>1</v>
      </c>
      <c r="H333" s="18"/>
      <c r="I333" s="19">
        <f t="shared" si="30"/>
        <v>1</v>
      </c>
      <c r="J333" s="19"/>
      <c r="K333" s="20"/>
      <c r="L333" s="19"/>
      <c r="M333" t="str">
        <f t="shared" si="23"/>
        <v/>
      </c>
      <c r="N333" t="str">
        <f t="shared" si="24"/>
        <v/>
      </c>
    </row>
    <row r="334" spans="1:14" x14ac:dyDescent="0.25">
      <c r="A334" s="2" t="s">
        <v>379</v>
      </c>
      <c r="B334" s="21"/>
      <c r="C334" s="3"/>
      <c r="D334" s="14"/>
      <c r="E334" s="31"/>
      <c r="F334" s="45" t="s">
        <v>711</v>
      </c>
      <c r="G334" s="20">
        <f t="shared" si="29"/>
        <v>1</v>
      </c>
      <c r="H334" s="18"/>
      <c r="I334" s="19">
        <f t="shared" si="30"/>
        <v>0</v>
      </c>
      <c r="J334" s="19"/>
      <c r="K334" s="20"/>
      <c r="L334" s="19"/>
      <c r="M334" t="str">
        <f t="shared" si="23"/>
        <v/>
      </c>
      <c r="N334" t="str">
        <f t="shared" si="24"/>
        <v/>
      </c>
    </row>
    <row r="335" spans="1:14" x14ac:dyDescent="0.25">
      <c r="A335" s="4" t="s">
        <v>121</v>
      </c>
      <c r="B335" s="1"/>
      <c r="C335" s="5" t="s">
        <v>5</v>
      </c>
      <c r="D335" s="13"/>
      <c r="E335" s="30"/>
      <c r="F335" s="43"/>
      <c r="G335" s="20">
        <f t="shared" si="29"/>
        <v>1</v>
      </c>
      <c r="H335" s="18"/>
      <c r="I335" s="19">
        <f t="shared" si="30"/>
        <v>1</v>
      </c>
      <c r="J335" s="19"/>
      <c r="K335" s="20"/>
      <c r="L335" s="19"/>
      <c r="M335" t="str">
        <f t="shared" si="23"/>
        <v/>
      </c>
      <c r="N335" t="str">
        <f t="shared" si="24"/>
        <v/>
      </c>
    </row>
    <row r="336" spans="1:14" x14ac:dyDescent="0.25">
      <c r="A336" s="4" t="s">
        <v>529</v>
      </c>
      <c r="B336" s="1"/>
      <c r="C336" s="5" t="s">
        <v>5</v>
      </c>
      <c r="D336" s="13" t="s">
        <v>523</v>
      </c>
      <c r="E336" s="30">
        <v>15</v>
      </c>
      <c r="F336" s="43">
        <v>6</v>
      </c>
      <c r="G336" s="20">
        <f t="shared" si="29"/>
        <v>1</v>
      </c>
      <c r="H336" s="18"/>
      <c r="I336" s="19">
        <f t="shared" si="30"/>
        <v>1</v>
      </c>
      <c r="J336" s="19"/>
      <c r="K336" s="20"/>
      <c r="L336" s="19"/>
      <c r="M336" t="str">
        <f t="shared" si="23"/>
        <v/>
      </c>
      <c r="N336" t="str">
        <f t="shared" si="24"/>
        <v/>
      </c>
    </row>
    <row r="337" spans="1:14" x14ac:dyDescent="0.25">
      <c r="A337" s="4" t="s">
        <v>287</v>
      </c>
      <c r="B337" s="1"/>
      <c r="C337" s="5" t="s">
        <v>5</v>
      </c>
      <c r="D337" s="13"/>
      <c r="E337" s="30"/>
      <c r="F337" s="43"/>
      <c r="G337" s="20">
        <f t="shared" si="29"/>
        <v>1</v>
      </c>
      <c r="H337" s="18"/>
      <c r="I337" s="19">
        <f t="shared" si="30"/>
        <v>1</v>
      </c>
      <c r="J337" s="19"/>
      <c r="K337" s="20"/>
      <c r="L337" s="19"/>
      <c r="M337" t="str">
        <f t="shared" si="23"/>
        <v/>
      </c>
      <c r="N337" t="str">
        <f t="shared" si="24"/>
        <v/>
      </c>
    </row>
    <row r="338" spans="1:14" x14ac:dyDescent="0.25">
      <c r="A338" s="4" t="s">
        <v>268</v>
      </c>
      <c r="B338" s="1"/>
      <c r="C338" s="5" t="s">
        <v>5</v>
      </c>
      <c r="D338" s="13"/>
      <c r="E338" s="30"/>
      <c r="F338" s="43"/>
      <c r="G338" s="20">
        <f t="shared" si="29"/>
        <v>1</v>
      </c>
      <c r="H338" s="18"/>
      <c r="I338" s="19">
        <f t="shared" si="30"/>
        <v>1</v>
      </c>
      <c r="J338" s="19"/>
      <c r="K338" s="20"/>
      <c r="L338" s="19"/>
      <c r="M338" t="str">
        <f t="shared" si="23"/>
        <v/>
      </c>
      <c r="N338" t="str">
        <f t="shared" si="24"/>
        <v/>
      </c>
    </row>
    <row r="339" spans="1:14" x14ac:dyDescent="0.25">
      <c r="A339" s="2" t="s">
        <v>355</v>
      </c>
      <c r="B339" s="21"/>
      <c r="C339" s="3"/>
      <c r="D339" s="14"/>
      <c r="E339" s="31"/>
      <c r="F339" s="45" t="s">
        <v>712</v>
      </c>
      <c r="G339" s="20">
        <f t="shared" si="29"/>
        <v>1</v>
      </c>
      <c r="H339" s="18"/>
      <c r="I339" s="19">
        <f t="shared" si="30"/>
        <v>0</v>
      </c>
      <c r="J339" s="19"/>
      <c r="K339" s="20"/>
      <c r="L339" s="19"/>
      <c r="M339" t="str">
        <f t="shared" si="23"/>
        <v/>
      </c>
      <c r="N339" t="str">
        <f t="shared" si="24"/>
        <v/>
      </c>
    </row>
    <row r="340" spans="1:14" x14ac:dyDescent="0.25">
      <c r="A340" s="2" t="s">
        <v>759</v>
      </c>
      <c r="B340" s="21"/>
      <c r="C340" s="3"/>
      <c r="D340" s="14"/>
      <c r="E340" s="31"/>
      <c r="F340" s="45" t="s">
        <v>758</v>
      </c>
      <c r="G340" s="20">
        <f t="shared" si="29"/>
        <v>1</v>
      </c>
      <c r="H340" s="18"/>
      <c r="I340" s="19">
        <f t="shared" si="30"/>
        <v>0</v>
      </c>
      <c r="J340" s="19"/>
      <c r="K340" s="20"/>
      <c r="L340" s="19"/>
      <c r="M340" t="str">
        <f t="shared" si="23"/>
        <v/>
      </c>
      <c r="N340" t="str">
        <f t="shared" si="24"/>
        <v/>
      </c>
    </row>
    <row r="341" spans="1:14" x14ac:dyDescent="0.25">
      <c r="A341" s="4" t="s">
        <v>122</v>
      </c>
      <c r="B341" s="1"/>
      <c r="C341" s="5" t="s">
        <v>5</v>
      </c>
      <c r="D341" s="13"/>
      <c r="E341" s="30"/>
      <c r="F341" s="43"/>
      <c r="G341" s="20">
        <f t="shared" si="29"/>
        <v>1</v>
      </c>
      <c r="H341" s="18"/>
      <c r="I341" s="19">
        <f t="shared" si="30"/>
        <v>1</v>
      </c>
      <c r="J341" s="19"/>
      <c r="K341" s="20"/>
      <c r="L341" s="19"/>
      <c r="M341" t="str">
        <f t="shared" si="23"/>
        <v/>
      </c>
      <c r="N341" t="str">
        <f t="shared" si="24"/>
        <v/>
      </c>
    </row>
    <row r="342" spans="1:14" x14ac:dyDescent="0.25">
      <c r="A342" s="4" t="s">
        <v>17</v>
      </c>
      <c r="B342" s="1"/>
      <c r="C342" s="5" t="s">
        <v>5</v>
      </c>
      <c r="D342" s="13"/>
      <c r="E342" s="30"/>
      <c r="F342" s="43"/>
      <c r="G342" s="20">
        <f t="shared" si="29"/>
        <v>1</v>
      </c>
      <c r="H342" s="18"/>
      <c r="I342" s="19">
        <f t="shared" si="30"/>
        <v>1</v>
      </c>
      <c r="J342" s="19"/>
      <c r="K342" s="20"/>
      <c r="L342" s="19"/>
      <c r="M342" t="str">
        <f t="shared" si="23"/>
        <v/>
      </c>
      <c r="N342" t="str">
        <f t="shared" si="24"/>
        <v/>
      </c>
    </row>
    <row r="343" spans="1:14" x14ac:dyDescent="0.25">
      <c r="A343" s="4" t="s">
        <v>226</v>
      </c>
      <c r="B343" s="1"/>
      <c r="C343" s="5" t="s">
        <v>5</v>
      </c>
      <c r="D343" s="13"/>
      <c r="E343" s="30"/>
      <c r="F343" s="43"/>
      <c r="G343" s="20">
        <f t="shared" si="29"/>
        <v>1</v>
      </c>
      <c r="H343" s="18"/>
      <c r="I343" s="19">
        <f t="shared" si="30"/>
        <v>1</v>
      </c>
      <c r="J343" s="19"/>
      <c r="K343" s="20"/>
      <c r="L343" s="19"/>
      <c r="M343" t="str">
        <f t="shared" ref="M343:M406" si="31">IF(B343=1,E343,"")</f>
        <v/>
      </c>
      <c r="N343" t="str">
        <f t="shared" ref="N343:N406" si="32">IF(B343=2,E343,"")</f>
        <v/>
      </c>
    </row>
    <row r="344" spans="1:14" x14ac:dyDescent="0.25">
      <c r="A344" s="4" t="s">
        <v>123</v>
      </c>
      <c r="B344" s="1"/>
      <c r="C344" s="5" t="s">
        <v>303</v>
      </c>
      <c r="D344" s="13" t="s">
        <v>430</v>
      </c>
      <c r="E344" s="30">
        <v>25</v>
      </c>
      <c r="F344" s="43"/>
      <c r="G344" s="20">
        <f t="shared" si="29"/>
        <v>1</v>
      </c>
      <c r="H344" s="18"/>
      <c r="I344" s="19">
        <f t="shared" si="30"/>
        <v>1</v>
      </c>
      <c r="J344" s="19"/>
      <c r="K344" s="20"/>
      <c r="L344" s="19"/>
      <c r="M344" t="str">
        <f t="shared" si="31"/>
        <v/>
      </c>
      <c r="N344" t="str">
        <f t="shared" si="32"/>
        <v/>
      </c>
    </row>
    <row r="345" spans="1:14" x14ac:dyDescent="0.25">
      <c r="A345" s="4" t="s">
        <v>124</v>
      </c>
      <c r="B345" s="1"/>
      <c r="C345" s="5" t="s">
        <v>5</v>
      </c>
      <c r="D345" s="13" t="s">
        <v>544</v>
      </c>
      <c r="E345" s="30"/>
      <c r="F345" s="43"/>
      <c r="G345" s="20">
        <f t="shared" si="29"/>
        <v>1</v>
      </c>
      <c r="H345" s="18"/>
      <c r="I345" s="19">
        <f t="shared" si="30"/>
        <v>1</v>
      </c>
      <c r="J345" s="19"/>
      <c r="K345" s="20"/>
      <c r="L345" s="19"/>
      <c r="M345" t="str">
        <f t="shared" si="31"/>
        <v/>
      </c>
      <c r="N345" t="str">
        <f t="shared" si="32"/>
        <v/>
      </c>
    </row>
    <row r="346" spans="1:14" x14ac:dyDescent="0.25">
      <c r="A346" s="4" t="s">
        <v>411</v>
      </c>
      <c r="B346" s="1"/>
      <c r="C346" s="5" t="s">
        <v>5</v>
      </c>
      <c r="D346" s="13" t="s">
        <v>545</v>
      </c>
      <c r="E346" s="30"/>
      <c r="F346" s="43"/>
      <c r="G346" s="20">
        <f t="shared" si="29"/>
        <v>1</v>
      </c>
      <c r="H346" s="18"/>
      <c r="I346" s="19">
        <f t="shared" si="30"/>
        <v>1</v>
      </c>
      <c r="J346" s="19"/>
      <c r="K346" s="20"/>
      <c r="L346" s="19"/>
      <c r="M346" t="str">
        <f t="shared" si="31"/>
        <v/>
      </c>
      <c r="N346" t="str">
        <f t="shared" si="32"/>
        <v/>
      </c>
    </row>
    <row r="347" spans="1:14" x14ac:dyDescent="0.25">
      <c r="A347" s="4" t="s">
        <v>245</v>
      </c>
      <c r="B347" s="1"/>
      <c r="C347" s="5" t="s">
        <v>5</v>
      </c>
      <c r="D347" s="13"/>
      <c r="E347" s="30"/>
      <c r="F347" s="43"/>
      <c r="G347" s="20">
        <f t="shared" si="29"/>
        <v>1</v>
      </c>
      <c r="H347" s="18"/>
      <c r="I347" s="19">
        <f t="shared" si="30"/>
        <v>1</v>
      </c>
      <c r="J347" s="19"/>
      <c r="K347" s="20"/>
      <c r="L347" s="19"/>
      <c r="M347" t="str">
        <f t="shared" si="31"/>
        <v/>
      </c>
      <c r="N347" t="str">
        <f t="shared" si="32"/>
        <v/>
      </c>
    </row>
    <row r="348" spans="1:14" x14ac:dyDescent="0.25">
      <c r="A348" s="4" t="s">
        <v>211</v>
      </c>
      <c r="B348" s="1"/>
      <c r="C348" s="5" t="s">
        <v>5</v>
      </c>
      <c r="D348" s="13" t="s">
        <v>474</v>
      </c>
      <c r="E348" s="30"/>
      <c r="F348" s="43"/>
      <c r="G348" s="20">
        <f t="shared" si="29"/>
        <v>1</v>
      </c>
      <c r="H348" s="18"/>
      <c r="I348" s="19">
        <f t="shared" si="30"/>
        <v>1</v>
      </c>
      <c r="J348" s="19"/>
      <c r="K348" s="20"/>
      <c r="L348" s="19"/>
      <c r="M348" t="str">
        <f t="shared" si="31"/>
        <v/>
      </c>
      <c r="N348" t="str">
        <f t="shared" si="32"/>
        <v/>
      </c>
    </row>
    <row r="349" spans="1:14" x14ac:dyDescent="0.25">
      <c r="A349" s="2" t="s">
        <v>392</v>
      </c>
      <c r="B349" s="21"/>
      <c r="C349" s="3"/>
      <c r="D349" s="14"/>
      <c r="E349" s="31"/>
      <c r="F349" s="45" t="s">
        <v>713</v>
      </c>
      <c r="G349" s="20">
        <f t="shared" si="29"/>
        <v>1</v>
      </c>
      <c r="H349" s="18"/>
      <c r="I349" s="19">
        <f t="shared" si="30"/>
        <v>0</v>
      </c>
      <c r="J349" s="19"/>
      <c r="K349" s="20"/>
      <c r="L349" s="19"/>
      <c r="M349" t="str">
        <f t="shared" si="31"/>
        <v/>
      </c>
      <c r="N349" t="str">
        <f t="shared" si="32"/>
        <v/>
      </c>
    </row>
    <row r="350" spans="1:14" x14ac:dyDescent="0.25">
      <c r="A350" s="4" t="s">
        <v>286</v>
      </c>
      <c r="B350" s="1"/>
      <c r="C350" s="5" t="s">
        <v>5</v>
      </c>
      <c r="D350" s="13"/>
      <c r="E350" s="30"/>
      <c r="F350" s="43"/>
      <c r="G350" s="20">
        <f t="shared" si="29"/>
        <v>1</v>
      </c>
      <c r="H350" s="18"/>
      <c r="I350" s="19">
        <f t="shared" si="30"/>
        <v>1</v>
      </c>
      <c r="J350" s="19"/>
      <c r="K350" s="20"/>
      <c r="L350" s="19"/>
      <c r="M350" t="str">
        <f t="shared" si="31"/>
        <v/>
      </c>
      <c r="N350" t="str">
        <f t="shared" si="32"/>
        <v/>
      </c>
    </row>
    <row r="351" spans="1:14" x14ac:dyDescent="0.25">
      <c r="A351" s="2" t="s">
        <v>224</v>
      </c>
      <c r="B351" s="21"/>
      <c r="C351" s="3"/>
      <c r="D351" s="14"/>
      <c r="E351" s="31"/>
      <c r="F351" s="45" t="s">
        <v>714</v>
      </c>
      <c r="G351" s="20">
        <f t="shared" si="29"/>
        <v>1</v>
      </c>
      <c r="H351" s="18"/>
      <c r="I351" s="19">
        <f t="shared" si="30"/>
        <v>0</v>
      </c>
      <c r="J351" s="19"/>
      <c r="K351" s="20"/>
      <c r="L351" s="19"/>
      <c r="M351" t="str">
        <f t="shared" si="31"/>
        <v/>
      </c>
      <c r="N351" t="str">
        <f t="shared" si="32"/>
        <v/>
      </c>
    </row>
    <row r="352" spans="1:14" x14ac:dyDescent="0.25">
      <c r="A352" s="4" t="s">
        <v>190</v>
      </c>
      <c r="B352" s="1"/>
      <c r="C352" s="5" t="s">
        <v>5</v>
      </c>
      <c r="D352" s="13"/>
      <c r="E352" s="30"/>
      <c r="F352" s="43"/>
      <c r="G352" s="20">
        <f t="shared" si="29"/>
        <v>1</v>
      </c>
      <c r="H352" s="18"/>
      <c r="I352" s="19">
        <f t="shared" si="30"/>
        <v>1</v>
      </c>
      <c r="J352" s="19"/>
      <c r="K352" s="20"/>
      <c r="L352" s="19"/>
      <c r="M352" t="str">
        <f t="shared" si="31"/>
        <v/>
      </c>
      <c r="N352" t="str">
        <f t="shared" si="32"/>
        <v/>
      </c>
    </row>
    <row r="353" spans="1:14" x14ac:dyDescent="0.25">
      <c r="A353" s="4" t="s">
        <v>194</v>
      </c>
      <c r="B353" s="1"/>
      <c r="C353" s="5" t="s">
        <v>5</v>
      </c>
      <c r="D353" s="13"/>
      <c r="E353" s="30"/>
      <c r="F353" s="43"/>
      <c r="G353" s="20">
        <f t="shared" si="29"/>
        <v>1</v>
      </c>
      <c r="H353" s="18"/>
      <c r="I353" s="19">
        <f t="shared" si="30"/>
        <v>1</v>
      </c>
      <c r="J353" s="19"/>
      <c r="K353" s="20"/>
      <c r="L353" s="19"/>
      <c r="M353" t="str">
        <f t="shared" si="31"/>
        <v/>
      </c>
      <c r="N353" t="str">
        <f t="shared" si="32"/>
        <v/>
      </c>
    </row>
    <row r="354" spans="1:14" x14ac:dyDescent="0.25">
      <c r="A354" s="4" t="s">
        <v>181</v>
      </c>
      <c r="B354" s="1"/>
      <c r="C354" s="5" t="s">
        <v>5</v>
      </c>
      <c r="D354" s="13"/>
      <c r="E354" s="30"/>
      <c r="F354" s="43"/>
      <c r="G354" s="20">
        <f t="shared" si="29"/>
        <v>1</v>
      </c>
      <c r="H354" s="18"/>
      <c r="I354" s="19">
        <f t="shared" si="30"/>
        <v>1</v>
      </c>
      <c r="J354" s="19"/>
      <c r="K354" s="20"/>
      <c r="L354" s="19"/>
      <c r="M354" t="str">
        <f t="shared" si="31"/>
        <v/>
      </c>
      <c r="N354" t="str">
        <f t="shared" si="32"/>
        <v/>
      </c>
    </row>
    <row r="355" spans="1:14" x14ac:dyDescent="0.25">
      <c r="A355" s="2" t="s">
        <v>349</v>
      </c>
      <c r="B355" s="21"/>
      <c r="C355" s="3"/>
      <c r="D355" s="14"/>
      <c r="E355" s="31"/>
      <c r="F355" s="45" t="s">
        <v>715</v>
      </c>
      <c r="G355" s="20">
        <f t="shared" si="29"/>
        <v>1</v>
      </c>
      <c r="H355" s="18"/>
      <c r="I355" s="19">
        <f t="shared" si="30"/>
        <v>0</v>
      </c>
      <c r="J355" s="19"/>
      <c r="K355" s="20"/>
      <c r="L355" s="19"/>
      <c r="M355" t="str">
        <f t="shared" si="31"/>
        <v/>
      </c>
      <c r="N355" t="str">
        <f t="shared" si="32"/>
        <v/>
      </c>
    </row>
    <row r="356" spans="1:14" x14ac:dyDescent="0.25">
      <c r="A356" s="4" t="s">
        <v>125</v>
      </c>
      <c r="B356" s="1"/>
      <c r="C356" s="5" t="s">
        <v>5</v>
      </c>
      <c r="D356" s="13"/>
      <c r="E356" s="30"/>
      <c r="F356" s="43"/>
      <c r="G356" s="20">
        <f t="shared" si="29"/>
        <v>1</v>
      </c>
      <c r="H356" s="18"/>
      <c r="I356" s="19">
        <f t="shared" si="30"/>
        <v>1</v>
      </c>
      <c r="J356" s="19"/>
      <c r="K356" s="20"/>
      <c r="L356" s="19"/>
      <c r="M356" t="str">
        <f t="shared" si="31"/>
        <v/>
      </c>
      <c r="N356" t="str">
        <f t="shared" si="32"/>
        <v/>
      </c>
    </row>
    <row r="357" spans="1:14" x14ac:dyDescent="0.25">
      <c r="A357" s="4" t="s">
        <v>182</v>
      </c>
      <c r="B357" s="1"/>
      <c r="C357" s="5" t="s">
        <v>5</v>
      </c>
      <c r="D357" s="13"/>
      <c r="E357" s="30"/>
      <c r="F357" s="43"/>
      <c r="G357" s="20">
        <f t="shared" si="29"/>
        <v>1</v>
      </c>
      <c r="H357" s="18"/>
      <c r="I357" s="19">
        <f t="shared" si="30"/>
        <v>1</v>
      </c>
      <c r="J357" s="19"/>
      <c r="K357" s="20"/>
      <c r="L357" s="19"/>
      <c r="M357" t="str">
        <f t="shared" si="31"/>
        <v/>
      </c>
      <c r="N357" t="str">
        <f t="shared" si="32"/>
        <v/>
      </c>
    </row>
    <row r="358" spans="1:14" x14ac:dyDescent="0.25">
      <c r="A358" s="4" t="s">
        <v>376</v>
      </c>
      <c r="B358" s="1"/>
      <c r="C358" s="5" t="s">
        <v>5</v>
      </c>
      <c r="D358" s="13"/>
      <c r="E358" s="30"/>
      <c r="F358" s="43"/>
      <c r="G358" s="20">
        <f t="shared" si="29"/>
        <v>1</v>
      </c>
      <c r="H358" s="18"/>
      <c r="I358" s="19">
        <f t="shared" si="30"/>
        <v>1</v>
      </c>
      <c r="J358" s="19"/>
      <c r="K358" s="20"/>
      <c r="L358" s="19"/>
      <c r="M358" t="str">
        <f t="shared" si="31"/>
        <v/>
      </c>
      <c r="N358" t="str">
        <f t="shared" si="32"/>
        <v/>
      </c>
    </row>
    <row r="359" spans="1:14" x14ac:dyDescent="0.25">
      <c r="A359" s="4" t="s">
        <v>126</v>
      </c>
      <c r="B359" s="1"/>
      <c r="C359" s="5" t="s">
        <v>5</v>
      </c>
      <c r="D359" s="13"/>
      <c r="E359" s="30"/>
      <c r="F359" s="43"/>
      <c r="G359" s="20">
        <f t="shared" si="29"/>
        <v>1</v>
      </c>
      <c r="H359" s="18"/>
      <c r="I359" s="19">
        <f t="shared" si="30"/>
        <v>1</v>
      </c>
      <c r="J359" s="19"/>
      <c r="K359" s="20"/>
      <c r="L359" s="19"/>
      <c r="M359" t="str">
        <f t="shared" si="31"/>
        <v/>
      </c>
      <c r="N359" t="str">
        <f t="shared" si="32"/>
        <v/>
      </c>
    </row>
    <row r="360" spans="1:14" x14ac:dyDescent="0.25">
      <c r="A360" s="4" t="s">
        <v>302</v>
      </c>
      <c r="B360" s="1"/>
      <c r="C360" s="5" t="s">
        <v>5</v>
      </c>
      <c r="D360" s="13" t="s">
        <v>310</v>
      </c>
      <c r="E360" s="30"/>
      <c r="F360" s="43"/>
      <c r="G360" s="20">
        <f t="shared" si="29"/>
        <v>1</v>
      </c>
      <c r="H360" s="18"/>
      <c r="I360" s="19">
        <f t="shared" si="30"/>
        <v>1</v>
      </c>
      <c r="J360" s="19"/>
      <c r="K360" s="20"/>
      <c r="L360" s="19"/>
      <c r="M360" t="str">
        <f t="shared" si="31"/>
        <v/>
      </c>
      <c r="N360" t="str">
        <f t="shared" si="32"/>
        <v/>
      </c>
    </row>
    <row r="361" spans="1:14" x14ac:dyDescent="0.25">
      <c r="A361" s="4" t="s">
        <v>360</v>
      </c>
      <c r="B361" s="1"/>
      <c r="C361" s="5" t="s">
        <v>5</v>
      </c>
      <c r="D361" s="13"/>
      <c r="E361" s="30"/>
      <c r="F361" s="43"/>
      <c r="G361" s="20">
        <f t="shared" si="29"/>
        <v>1</v>
      </c>
      <c r="H361" s="18"/>
      <c r="I361" s="19">
        <f t="shared" si="30"/>
        <v>1</v>
      </c>
      <c r="J361" s="19"/>
      <c r="K361" s="20"/>
      <c r="L361" s="19"/>
      <c r="M361" t="str">
        <f t="shared" si="31"/>
        <v/>
      </c>
      <c r="N361" t="str">
        <f t="shared" si="32"/>
        <v/>
      </c>
    </row>
    <row r="362" spans="1:14" x14ac:dyDescent="0.25">
      <c r="A362" s="2" t="s">
        <v>237</v>
      </c>
      <c r="B362" s="21"/>
      <c r="C362" s="3"/>
      <c r="D362" s="14"/>
      <c r="E362" s="31"/>
      <c r="F362" s="45" t="s">
        <v>716</v>
      </c>
      <c r="G362" s="20">
        <f t="shared" si="29"/>
        <v>1</v>
      </c>
      <c r="H362" s="18"/>
      <c r="I362" s="19">
        <f t="shared" si="30"/>
        <v>0</v>
      </c>
      <c r="J362" s="19"/>
      <c r="K362" s="20"/>
      <c r="L362" s="19"/>
      <c r="M362" t="str">
        <f t="shared" si="31"/>
        <v/>
      </c>
      <c r="N362" t="str">
        <f t="shared" si="32"/>
        <v/>
      </c>
    </row>
    <row r="363" spans="1:14" x14ac:dyDescent="0.25">
      <c r="A363" s="4" t="s">
        <v>462</v>
      </c>
      <c r="B363" s="1"/>
      <c r="C363" s="5" t="s">
        <v>5</v>
      </c>
      <c r="D363" s="13" t="s">
        <v>463</v>
      </c>
      <c r="E363" s="30"/>
      <c r="F363" s="43"/>
      <c r="G363" s="20">
        <f t="shared" si="29"/>
        <v>1</v>
      </c>
      <c r="H363" s="18"/>
      <c r="I363" s="19">
        <f t="shared" si="30"/>
        <v>1</v>
      </c>
      <c r="J363" s="19"/>
      <c r="K363" s="20"/>
      <c r="L363" s="19"/>
      <c r="M363" t="str">
        <f t="shared" si="31"/>
        <v/>
      </c>
      <c r="N363" t="str">
        <f t="shared" si="32"/>
        <v/>
      </c>
    </row>
    <row r="364" spans="1:14" x14ac:dyDescent="0.25">
      <c r="A364" s="4" t="s">
        <v>127</v>
      </c>
      <c r="B364" s="1"/>
      <c r="C364" s="5" t="s">
        <v>5</v>
      </c>
      <c r="D364" s="13"/>
      <c r="E364" s="30"/>
      <c r="F364" s="43"/>
      <c r="G364" s="20">
        <f t="shared" si="29"/>
        <v>1</v>
      </c>
      <c r="H364" s="18"/>
      <c r="I364" s="19">
        <f t="shared" si="30"/>
        <v>1</v>
      </c>
      <c r="J364" s="19"/>
      <c r="K364" s="20"/>
      <c r="L364" s="19"/>
      <c r="M364" t="str">
        <f t="shared" si="31"/>
        <v/>
      </c>
      <c r="N364" t="str">
        <f t="shared" si="32"/>
        <v/>
      </c>
    </row>
    <row r="365" spans="1:14" x14ac:dyDescent="0.25">
      <c r="A365" s="4" t="s">
        <v>128</v>
      </c>
      <c r="B365" s="1"/>
      <c r="C365" s="5" t="s">
        <v>5</v>
      </c>
      <c r="D365" s="13"/>
      <c r="E365" s="30"/>
      <c r="F365" s="46"/>
      <c r="G365" s="20">
        <f t="shared" si="29"/>
        <v>1</v>
      </c>
      <c r="H365" s="18"/>
      <c r="I365" s="19">
        <f t="shared" si="30"/>
        <v>1</v>
      </c>
      <c r="J365" s="19"/>
      <c r="K365" s="20"/>
      <c r="L365" s="19"/>
      <c r="M365" t="str">
        <f t="shared" si="31"/>
        <v/>
      </c>
      <c r="N365" t="str">
        <f t="shared" si="32"/>
        <v/>
      </c>
    </row>
    <row r="366" spans="1:14" x14ac:dyDescent="0.25">
      <c r="A366" s="2" t="s">
        <v>129</v>
      </c>
      <c r="B366" s="21"/>
      <c r="C366" s="3"/>
      <c r="D366" s="14"/>
      <c r="E366" s="31"/>
      <c r="F366" s="45" t="s">
        <v>717</v>
      </c>
      <c r="G366" s="20">
        <f t="shared" si="29"/>
        <v>1</v>
      </c>
      <c r="H366" s="18"/>
      <c r="I366" s="19">
        <f t="shared" si="30"/>
        <v>0</v>
      </c>
      <c r="J366" s="19"/>
      <c r="K366" s="20"/>
      <c r="L366" s="19"/>
      <c r="M366" t="str">
        <f t="shared" si="31"/>
        <v/>
      </c>
      <c r="N366" t="str">
        <f t="shared" si="32"/>
        <v/>
      </c>
    </row>
    <row r="367" spans="1:14" x14ac:dyDescent="0.25">
      <c r="A367" s="2" t="s">
        <v>481</v>
      </c>
      <c r="B367" s="21"/>
      <c r="C367" s="3"/>
      <c r="D367" s="14"/>
      <c r="E367" s="31"/>
      <c r="F367" s="45" t="s">
        <v>718</v>
      </c>
      <c r="G367" s="20">
        <f t="shared" si="29"/>
        <v>1</v>
      </c>
      <c r="H367" s="18"/>
      <c r="I367" s="19">
        <f t="shared" si="30"/>
        <v>0</v>
      </c>
      <c r="J367" s="19"/>
      <c r="K367" s="20"/>
      <c r="L367" s="19"/>
      <c r="M367" t="str">
        <f t="shared" si="31"/>
        <v/>
      </c>
      <c r="N367" t="str">
        <f t="shared" si="32"/>
        <v/>
      </c>
    </row>
    <row r="368" spans="1:14" x14ac:dyDescent="0.25">
      <c r="A368" s="2" t="s">
        <v>380</v>
      </c>
      <c r="B368" s="21"/>
      <c r="C368" s="3"/>
      <c r="D368" s="14" t="s">
        <v>488</v>
      </c>
      <c r="E368" s="31"/>
      <c r="F368" s="45" t="s">
        <v>719</v>
      </c>
      <c r="G368" s="20">
        <f t="shared" si="29"/>
        <v>1</v>
      </c>
      <c r="H368" s="18"/>
      <c r="I368" s="19">
        <f t="shared" si="30"/>
        <v>0</v>
      </c>
      <c r="J368" s="19"/>
      <c r="K368" s="20"/>
      <c r="L368" s="19"/>
      <c r="M368" t="str">
        <f t="shared" si="31"/>
        <v/>
      </c>
      <c r="N368" t="str">
        <f t="shared" si="32"/>
        <v/>
      </c>
    </row>
    <row r="369" spans="1:14" x14ac:dyDescent="0.25">
      <c r="A369" s="2" t="s">
        <v>212</v>
      </c>
      <c r="B369" s="21"/>
      <c r="C369" s="3"/>
      <c r="D369" s="14"/>
      <c r="E369" s="31"/>
      <c r="F369" s="45" t="s">
        <v>720</v>
      </c>
      <c r="G369" s="20">
        <f t="shared" si="29"/>
        <v>1</v>
      </c>
      <c r="H369" s="18"/>
      <c r="I369" s="19">
        <f t="shared" si="30"/>
        <v>0</v>
      </c>
      <c r="J369" s="19"/>
      <c r="K369" s="20"/>
      <c r="L369" s="19"/>
      <c r="M369" t="str">
        <f t="shared" si="31"/>
        <v/>
      </c>
      <c r="N369" t="str">
        <f t="shared" si="32"/>
        <v/>
      </c>
    </row>
    <row r="370" spans="1:14" x14ac:dyDescent="0.25">
      <c r="A370" s="4" t="s">
        <v>130</v>
      </c>
      <c r="B370" s="1"/>
      <c r="C370" s="5" t="s">
        <v>5</v>
      </c>
      <c r="D370" s="13" t="s">
        <v>454</v>
      </c>
      <c r="E370" s="30">
        <v>15.25</v>
      </c>
      <c r="F370" s="46"/>
      <c r="G370" s="20">
        <f t="shared" si="29"/>
        <v>1</v>
      </c>
      <c r="H370" s="18"/>
      <c r="I370" s="19">
        <f t="shared" si="30"/>
        <v>1</v>
      </c>
      <c r="J370" s="19"/>
      <c r="K370" s="20"/>
      <c r="L370" s="19"/>
      <c r="M370" t="str">
        <f t="shared" si="31"/>
        <v/>
      </c>
      <c r="N370" t="str">
        <f t="shared" si="32"/>
        <v/>
      </c>
    </row>
    <row r="371" spans="1:14" x14ac:dyDescent="0.25">
      <c r="A371" s="4" t="s">
        <v>183</v>
      </c>
      <c r="B371" s="1"/>
      <c r="C371" s="5" t="s">
        <v>5</v>
      </c>
      <c r="D371" s="13"/>
      <c r="E371" s="30"/>
      <c r="F371" s="43"/>
      <c r="G371" s="20">
        <f t="shared" si="29"/>
        <v>1</v>
      </c>
      <c r="H371" s="18"/>
      <c r="I371" s="19">
        <f t="shared" si="30"/>
        <v>1</v>
      </c>
      <c r="J371" s="19"/>
      <c r="K371" s="20"/>
      <c r="L371" s="19"/>
      <c r="M371" t="str">
        <f t="shared" si="31"/>
        <v/>
      </c>
      <c r="N371" t="str">
        <f t="shared" si="32"/>
        <v/>
      </c>
    </row>
    <row r="372" spans="1:14" x14ac:dyDescent="0.25">
      <c r="A372" s="4" t="s">
        <v>131</v>
      </c>
      <c r="B372" s="1"/>
      <c r="C372" s="5" t="s">
        <v>303</v>
      </c>
      <c r="D372" s="13" t="s">
        <v>430</v>
      </c>
      <c r="E372" s="30">
        <v>24</v>
      </c>
      <c r="F372" s="43"/>
      <c r="G372" s="20">
        <f t="shared" si="29"/>
        <v>1</v>
      </c>
      <c r="H372" s="18"/>
      <c r="I372" s="19">
        <f t="shared" si="30"/>
        <v>1</v>
      </c>
      <c r="J372" s="19"/>
      <c r="K372" s="20"/>
      <c r="L372" s="19"/>
      <c r="M372" t="str">
        <f t="shared" si="31"/>
        <v/>
      </c>
      <c r="N372" t="str">
        <f t="shared" si="32"/>
        <v/>
      </c>
    </row>
    <row r="373" spans="1:14" x14ac:dyDescent="0.25">
      <c r="A373" s="4" t="s">
        <v>246</v>
      </c>
      <c r="B373" s="1"/>
      <c r="C373" s="5" t="s">
        <v>5</v>
      </c>
      <c r="D373" s="13"/>
      <c r="E373" s="30"/>
      <c r="F373" s="43"/>
      <c r="G373" s="20">
        <f t="shared" si="29"/>
        <v>1</v>
      </c>
      <c r="H373" s="18"/>
      <c r="I373" s="19">
        <f t="shared" si="30"/>
        <v>1</v>
      </c>
      <c r="J373" s="19"/>
      <c r="K373" s="20"/>
      <c r="L373" s="19"/>
      <c r="M373" t="str">
        <f t="shared" si="31"/>
        <v/>
      </c>
      <c r="N373" t="str">
        <f t="shared" si="32"/>
        <v/>
      </c>
    </row>
    <row r="374" spans="1:14" x14ac:dyDescent="0.25">
      <c r="A374" s="2" t="s">
        <v>132</v>
      </c>
      <c r="B374" s="21"/>
      <c r="C374" s="3"/>
      <c r="D374" s="14"/>
      <c r="E374" s="31"/>
      <c r="F374" s="45" t="s">
        <v>721</v>
      </c>
      <c r="G374" s="20">
        <f t="shared" si="29"/>
        <v>1</v>
      </c>
      <c r="H374" s="18"/>
      <c r="I374" s="19">
        <f t="shared" si="30"/>
        <v>0</v>
      </c>
      <c r="J374" s="19"/>
      <c r="K374" s="20"/>
      <c r="L374" s="19"/>
      <c r="M374" t="str">
        <f t="shared" si="31"/>
        <v/>
      </c>
      <c r="N374" t="str">
        <f t="shared" si="32"/>
        <v/>
      </c>
    </row>
    <row r="375" spans="1:14" x14ac:dyDescent="0.25">
      <c r="A375" s="4" t="s">
        <v>265</v>
      </c>
      <c r="B375" s="1"/>
      <c r="C375" s="5" t="s">
        <v>5</v>
      </c>
      <c r="D375" s="13"/>
      <c r="E375" s="30"/>
      <c r="F375" s="43"/>
      <c r="G375" s="20">
        <f t="shared" si="29"/>
        <v>1</v>
      </c>
      <c r="H375" s="18"/>
      <c r="I375" s="19">
        <f t="shared" si="30"/>
        <v>1</v>
      </c>
      <c r="J375" s="19"/>
      <c r="K375" s="20"/>
      <c r="L375" s="19"/>
      <c r="M375" t="str">
        <f t="shared" si="31"/>
        <v/>
      </c>
      <c r="N375" t="str">
        <f t="shared" si="32"/>
        <v/>
      </c>
    </row>
    <row r="376" spans="1:14" x14ac:dyDescent="0.25">
      <c r="A376" s="2" t="s">
        <v>317</v>
      </c>
      <c r="B376" s="21"/>
      <c r="C376" s="3"/>
      <c r="D376" s="14"/>
      <c r="E376" s="31"/>
      <c r="F376" s="45" t="s">
        <v>722</v>
      </c>
      <c r="G376" s="20">
        <f t="shared" si="29"/>
        <v>1</v>
      </c>
      <c r="H376" s="18"/>
      <c r="I376" s="19">
        <f t="shared" si="30"/>
        <v>0</v>
      </c>
      <c r="J376" s="19"/>
      <c r="K376" s="20"/>
      <c r="L376" s="19"/>
      <c r="M376" t="str">
        <f t="shared" si="31"/>
        <v/>
      </c>
      <c r="N376" t="str">
        <f t="shared" si="32"/>
        <v/>
      </c>
    </row>
    <row r="377" spans="1:14" x14ac:dyDescent="0.25">
      <c r="A377" s="4" t="s">
        <v>247</v>
      </c>
      <c r="B377" s="1"/>
      <c r="C377" s="5" t="s">
        <v>5</v>
      </c>
      <c r="D377" s="13" t="s">
        <v>430</v>
      </c>
      <c r="E377" s="30">
        <v>17</v>
      </c>
      <c r="F377" s="43"/>
      <c r="G377" s="20">
        <f t="shared" si="29"/>
        <v>1</v>
      </c>
      <c r="H377" s="18"/>
      <c r="I377" s="19">
        <f t="shared" si="30"/>
        <v>1</v>
      </c>
      <c r="J377" s="19"/>
      <c r="K377" s="20"/>
      <c r="L377" s="19"/>
      <c r="M377" t="str">
        <f t="shared" si="31"/>
        <v/>
      </c>
      <c r="N377" t="str">
        <f t="shared" si="32"/>
        <v/>
      </c>
    </row>
    <row r="378" spans="1:14" x14ac:dyDescent="0.25">
      <c r="A378" s="2" t="s">
        <v>298</v>
      </c>
      <c r="B378" s="21"/>
      <c r="C378" s="3"/>
      <c r="D378" s="14"/>
      <c r="E378" s="31"/>
      <c r="F378" s="45" t="s">
        <v>723</v>
      </c>
      <c r="G378" s="20">
        <f t="shared" si="29"/>
        <v>1</v>
      </c>
      <c r="H378" s="18"/>
      <c r="I378" s="19">
        <f t="shared" si="30"/>
        <v>0</v>
      </c>
      <c r="J378" s="19"/>
      <c r="K378" s="20"/>
      <c r="L378" s="19"/>
      <c r="M378" t="str">
        <f t="shared" si="31"/>
        <v/>
      </c>
      <c r="N378" t="str">
        <f t="shared" si="32"/>
        <v/>
      </c>
    </row>
    <row r="379" spans="1:14" x14ac:dyDescent="0.25">
      <c r="A379" s="2" t="s">
        <v>542</v>
      </c>
      <c r="B379" s="21"/>
      <c r="C379" s="3"/>
      <c r="D379" s="14" t="s">
        <v>724</v>
      </c>
      <c r="E379" s="31"/>
      <c r="F379" s="45" t="s">
        <v>725</v>
      </c>
      <c r="G379" s="20">
        <f t="shared" si="29"/>
        <v>1</v>
      </c>
      <c r="H379" s="18"/>
      <c r="I379" s="19">
        <f t="shared" si="30"/>
        <v>0</v>
      </c>
      <c r="J379" s="19"/>
      <c r="K379" s="20"/>
      <c r="L379" s="19"/>
      <c r="M379" t="str">
        <f t="shared" si="31"/>
        <v/>
      </c>
      <c r="N379" t="str">
        <f t="shared" si="32"/>
        <v/>
      </c>
    </row>
    <row r="380" spans="1:14" x14ac:dyDescent="0.25">
      <c r="A380" s="2" t="s">
        <v>133</v>
      </c>
      <c r="B380" s="21"/>
      <c r="C380" s="3"/>
      <c r="D380" s="14"/>
      <c r="E380" s="31"/>
      <c r="F380" s="45" t="s">
        <v>726</v>
      </c>
      <c r="G380" s="20">
        <f t="shared" si="29"/>
        <v>1</v>
      </c>
      <c r="H380" s="18"/>
      <c r="I380" s="19">
        <f t="shared" si="30"/>
        <v>0</v>
      </c>
      <c r="J380" s="19"/>
      <c r="K380" s="20"/>
      <c r="L380" s="19"/>
      <c r="M380" t="str">
        <f t="shared" si="31"/>
        <v/>
      </c>
      <c r="N380" t="str">
        <f t="shared" si="32"/>
        <v/>
      </c>
    </row>
    <row r="381" spans="1:14" x14ac:dyDescent="0.25">
      <c r="A381" s="2" t="s">
        <v>727</v>
      </c>
      <c r="B381" s="21"/>
      <c r="C381" s="3"/>
      <c r="D381" s="14" t="s">
        <v>729</v>
      </c>
      <c r="E381" s="31"/>
      <c r="F381" s="45" t="s">
        <v>728</v>
      </c>
      <c r="G381" s="20">
        <f t="shared" si="29"/>
        <v>1</v>
      </c>
      <c r="H381" s="18"/>
      <c r="I381" s="19">
        <f t="shared" si="30"/>
        <v>0</v>
      </c>
      <c r="J381" s="19"/>
      <c r="K381" s="20"/>
      <c r="L381" s="19"/>
      <c r="M381" t="str">
        <f t="shared" si="31"/>
        <v/>
      </c>
      <c r="N381" t="str">
        <f t="shared" si="32"/>
        <v/>
      </c>
    </row>
    <row r="382" spans="1:14" x14ac:dyDescent="0.25">
      <c r="A382" s="2" t="s">
        <v>213</v>
      </c>
      <c r="B382" s="21"/>
      <c r="C382" s="3"/>
      <c r="D382" s="14" t="s">
        <v>430</v>
      </c>
      <c r="E382" s="31">
        <v>15</v>
      </c>
      <c r="F382" s="45" t="s">
        <v>730</v>
      </c>
      <c r="G382" s="20">
        <f t="shared" si="29"/>
        <v>1</v>
      </c>
      <c r="H382" s="18"/>
      <c r="I382" s="19">
        <f t="shared" si="30"/>
        <v>0</v>
      </c>
      <c r="J382" s="19"/>
      <c r="K382" s="20"/>
      <c r="L382" s="19"/>
      <c r="M382" t="str">
        <f t="shared" si="31"/>
        <v/>
      </c>
      <c r="N382" t="str">
        <f t="shared" si="32"/>
        <v/>
      </c>
    </row>
    <row r="383" spans="1:14" x14ac:dyDescent="0.25">
      <c r="A383" s="2" t="s">
        <v>393</v>
      </c>
      <c r="B383" s="21"/>
      <c r="C383" s="3"/>
      <c r="D383" s="14"/>
      <c r="E383" s="31"/>
      <c r="F383" s="45" t="s">
        <v>731</v>
      </c>
      <c r="G383" s="20">
        <f t="shared" si="29"/>
        <v>1</v>
      </c>
      <c r="H383" s="18"/>
      <c r="I383" s="19">
        <f t="shared" si="30"/>
        <v>0</v>
      </c>
      <c r="J383" s="19"/>
      <c r="K383" s="20"/>
      <c r="L383" s="19"/>
      <c r="M383" t="str">
        <f t="shared" si="31"/>
        <v/>
      </c>
      <c r="N383" t="str">
        <f t="shared" si="32"/>
        <v/>
      </c>
    </row>
    <row r="384" spans="1:14" x14ac:dyDescent="0.25">
      <c r="A384" s="4" t="s">
        <v>134</v>
      </c>
      <c r="B384" s="1"/>
      <c r="C384" s="5" t="s">
        <v>5</v>
      </c>
      <c r="D384" s="13" t="s">
        <v>474</v>
      </c>
      <c r="E384" s="30"/>
      <c r="F384" s="43"/>
      <c r="G384" s="20">
        <f t="shared" si="29"/>
        <v>1</v>
      </c>
      <c r="H384" s="18"/>
      <c r="I384" s="19">
        <f t="shared" si="30"/>
        <v>1</v>
      </c>
      <c r="J384" s="19"/>
      <c r="K384" s="20"/>
      <c r="L384" s="19"/>
      <c r="M384" t="str">
        <f t="shared" si="31"/>
        <v/>
      </c>
      <c r="N384" t="str">
        <f t="shared" si="32"/>
        <v/>
      </c>
    </row>
    <row r="385" spans="1:14" x14ac:dyDescent="0.25">
      <c r="A385" s="4" t="s">
        <v>539</v>
      </c>
      <c r="B385" s="1"/>
      <c r="C385" s="5" t="s">
        <v>5</v>
      </c>
      <c r="D385" s="13" t="s">
        <v>493</v>
      </c>
      <c r="E385" s="30">
        <v>10</v>
      </c>
      <c r="F385" s="43"/>
      <c r="G385" s="20">
        <f t="shared" si="29"/>
        <v>1</v>
      </c>
      <c r="H385" s="18"/>
      <c r="I385" s="19">
        <f t="shared" si="30"/>
        <v>1</v>
      </c>
      <c r="J385" s="19"/>
      <c r="K385" s="20"/>
      <c r="L385" s="19"/>
      <c r="M385" t="str">
        <f t="shared" si="31"/>
        <v/>
      </c>
      <c r="N385" t="str">
        <f t="shared" si="32"/>
        <v/>
      </c>
    </row>
    <row r="386" spans="1:14" x14ac:dyDescent="0.25">
      <c r="A386" s="4" t="s">
        <v>135</v>
      </c>
      <c r="B386" s="1"/>
      <c r="C386" s="5" t="s">
        <v>5</v>
      </c>
      <c r="D386" s="13"/>
      <c r="E386" s="30"/>
      <c r="F386" s="46"/>
      <c r="G386" s="20">
        <f t="shared" si="29"/>
        <v>1</v>
      </c>
      <c r="H386" s="18"/>
      <c r="I386" s="19">
        <f t="shared" si="30"/>
        <v>1</v>
      </c>
      <c r="J386" s="19"/>
      <c r="K386" s="20"/>
      <c r="L386" s="19"/>
      <c r="M386" t="str">
        <f t="shared" si="31"/>
        <v/>
      </c>
      <c r="N386" t="str">
        <f t="shared" si="32"/>
        <v/>
      </c>
    </row>
    <row r="387" spans="1:14" x14ac:dyDescent="0.25">
      <c r="A387" s="4" t="s">
        <v>227</v>
      </c>
      <c r="B387" s="1"/>
      <c r="C387" s="5" t="s">
        <v>5</v>
      </c>
      <c r="D387" s="13"/>
      <c r="E387" s="30"/>
      <c r="F387" s="46"/>
      <c r="G387" s="20">
        <f t="shared" si="29"/>
        <v>1</v>
      </c>
      <c r="H387" s="18"/>
      <c r="I387" s="19">
        <f t="shared" si="30"/>
        <v>1</v>
      </c>
      <c r="J387" s="19"/>
      <c r="K387" s="20"/>
      <c r="L387" s="19"/>
      <c r="M387" t="str">
        <f t="shared" si="31"/>
        <v/>
      </c>
      <c r="N387" t="str">
        <f t="shared" si="32"/>
        <v/>
      </c>
    </row>
    <row r="388" spans="1:14" x14ac:dyDescent="0.25">
      <c r="A388" s="4" t="s">
        <v>235</v>
      </c>
      <c r="B388" s="1"/>
      <c r="C388" s="5" t="s">
        <v>5</v>
      </c>
      <c r="D388" s="13" t="s">
        <v>430</v>
      </c>
      <c r="E388" s="30">
        <v>11</v>
      </c>
      <c r="F388" s="43"/>
      <c r="G388" s="20">
        <f t="shared" si="29"/>
        <v>1</v>
      </c>
      <c r="H388" s="18"/>
      <c r="I388" s="19">
        <f t="shared" si="30"/>
        <v>1</v>
      </c>
      <c r="J388" s="19"/>
      <c r="K388" s="20"/>
      <c r="L388" s="19"/>
      <c r="M388" t="str">
        <f t="shared" si="31"/>
        <v/>
      </c>
      <c r="N388" t="str">
        <f t="shared" si="32"/>
        <v/>
      </c>
    </row>
    <row r="389" spans="1:14" x14ac:dyDescent="0.25">
      <c r="A389" s="2" t="s">
        <v>248</v>
      </c>
      <c r="B389" s="21"/>
      <c r="C389" s="3"/>
      <c r="D389" s="14"/>
      <c r="E389" s="31"/>
      <c r="F389" s="45" t="s">
        <v>732</v>
      </c>
      <c r="G389" s="20">
        <f t="shared" si="29"/>
        <v>1</v>
      </c>
      <c r="H389" s="18"/>
      <c r="I389" s="19">
        <f t="shared" si="30"/>
        <v>0</v>
      </c>
      <c r="J389" s="19"/>
      <c r="K389" s="20"/>
      <c r="L389" s="19"/>
      <c r="M389" t="str">
        <f t="shared" si="31"/>
        <v/>
      </c>
      <c r="N389" t="str">
        <f t="shared" si="32"/>
        <v/>
      </c>
    </row>
    <row r="390" spans="1:14" x14ac:dyDescent="0.25">
      <c r="A390" s="2" t="s">
        <v>412</v>
      </c>
      <c r="B390" s="21"/>
      <c r="C390" s="3"/>
      <c r="D390" s="14"/>
      <c r="E390" s="31"/>
      <c r="F390" s="45" t="s">
        <v>733</v>
      </c>
      <c r="G390" s="20">
        <f t="shared" si="29"/>
        <v>1</v>
      </c>
      <c r="H390" s="18"/>
      <c r="I390" s="19">
        <f t="shared" si="30"/>
        <v>0</v>
      </c>
      <c r="J390" s="19"/>
      <c r="K390" s="20"/>
      <c r="L390" s="19"/>
      <c r="M390" t="str">
        <f t="shared" si="31"/>
        <v/>
      </c>
      <c r="N390" t="str">
        <f t="shared" si="32"/>
        <v/>
      </c>
    </row>
    <row r="391" spans="1:14" x14ac:dyDescent="0.25">
      <c r="A391" s="4" t="s">
        <v>136</v>
      </c>
      <c r="B391" s="1"/>
      <c r="C391" s="5" t="s">
        <v>5</v>
      </c>
      <c r="D391" s="13"/>
      <c r="E391" s="30"/>
      <c r="F391" s="43"/>
      <c r="G391" s="20">
        <f t="shared" si="29"/>
        <v>1</v>
      </c>
      <c r="H391" s="18"/>
      <c r="I391" s="19">
        <f t="shared" si="30"/>
        <v>1</v>
      </c>
      <c r="J391" s="19"/>
      <c r="K391" s="20"/>
      <c r="L391" s="19"/>
      <c r="M391" t="str">
        <f t="shared" si="31"/>
        <v/>
      </c>
      <c r="N391" t="str">
        <f t="shared" si="32"/>
        <v/>
      </c>
    </row>
    <row r="392" spans="1:14" x14ac:dyDescent="0.25">
      <c r="A392" s="2" t="s">
        <v>357</v>
      </c>
      <c r="B392" s="21"/>
      <c r="C392" s="3"/>
      <c r="D392" s="14"/>
      <c r="E392" s="31"/>
      <c r="F392" s="45" t="s">
        <v>734</v>
      </c>
      <c r="G392" s="20">
        <f t="shared" ref="G392:G455" si="33">COUNTA(A392)</f>
        <v>1</v>
      </c>
      <c r="H392" s="18"/>
      <c r="I392" s="19">
        <f t="shared" ref="I392:I455" si="34">COUNTA(C392)</f>
        <v>0</v>
      </c>
      <c r="J392" s="19"/>
      <c r="K392" s="20"/>
      <c r="L392" s="19"/>
      <c r="M392" t="str">
        <f t="shared" si="31"/>
        <v/>
      </c>
      <c r="N392" t="str">
        <f t="shared" si="32"/>
        <v/>
      </c>
    </row>
    <row r="393" spans="1:14" x14ac:dyDescent="0.25">
      <c r="A393" s="4" t="s">
        <v>137</v>
      </c>
      <c r="B393" s="1"/>
      <c r="C393" s="5" t="s">
        <v>5</v>
      </c>
      <c r="D393" s="13"/>
      <c r="E393" s="30"/>
      <c r="F393" s="43"/>
      <c r="G393" s="20">
        <f t="shared" si="33"/>
        <v>1</v>
      </c>
      <c r="H393" s="18"/>
      <c r="I393" s="19">
        <f t="shared" si="34"/>
        <v>1</v>
      </c>
      <c r="J393" s="19"/>
      <c r="K393" s="20"/>
      <c r="L393" s="19"/>
      <c r="M393" t="str">
        <f t="shared" si="31"/>
        <v/>
      </c>
      <c r="N393" t="str">
        <f t="shared" si="32"/>
        <v/>
      </c>
    </row>
    <row r="394" spans="1:14" x14ac:dyDescent="0.25">
      <c r="A394" s="4" t="s">
        <v>138</v>
      </c>
      <c r="B394" s="1"/>
      <c r="C394" s="5" t="s">
        <v>5</v>
      </c>
      <c r="D394" s="13"/>
      <c r="E394" s="30"/>
      <c r="F394" s="43"/>
      <c r="G394" s="20">
        <f t="shared" si="33"/>
        <v>1</v>
      </c>
      <c r="H394" s="18"/>
      <c r="I394" s="19">
        <f t="shared" si="34"/>
        <v>1</v>
      </c>
      <c r="J394" s="19"/>
      <c r="K394" s="20"/>
      <c r="L394" s="19"/>
      <c r="M394" t="str">
        <f t="shared" si="31"/>
        <v/>
      </c>
      <c r="N394" t="str">
        <f t="shared" si="32"/>
        <v/>
      </c>
    </row>
    <row r="395" spans="1:14" x14ac:dyDescent="0.25">
      <c r="A395" s="4" t="s">
        <v>139</v>
      </c>
      <c r="B395" s="1"/>
      <c r="C395" s="5" t="s">
        <v>5</v>
      </c>
      <c r="D395" s="13" t="s">
        <v>430</v>
      </c>
      <c r="E395" s="30">
        <v>18</v>
      </c>
      <c r="F395" s="43"/>
      <c r="G395" s="20">
        <f t="shared" si="33"/>
        <v>1</v>
      </c>
      <c r="H395" s="18"/>
      <c r="I395" s="19">
        <f t="shared" si="34"/>
        <v>1</v>
      </c>
      <c r="J395" s="19"/>
      <c r="K395" s="20"/>
      <c r="L395" s="19"/>
      <c r="M395" t="str">
        <f t="shared" si="31"/>
        <v/>
      </c>
      <c r="N395" t="str">
        <f t="shared" si="32"/>
        <v/>
      </c>
    </row>
    <row r="396" spans="1:14" x14ac:dyDescent="0.25">
      <c r="A396" s="2" t="s">
        <v>489</v>
      </c>
      <c r="B396" s="21"/>
      <c r="C396" s="3"/>
      <c r="D396" s="14"/>
      <c r="E396" s="31"/>
      <c r="F396" s="45" t="s">
        <v>735</v>
      </c>
      <c r="G396" s="20">
        <f t="shared" si="33"/>
        <v>1</v>
      </c>
      <c r="H396" s="18"/>
      <c r="I396" s="19">
        <f t="shared" si="34"/>
        <v>0</v>
      </c>
      <c r="J396" s="19"/>
      <c r="K396" s="20"/>
      <c r="L396" s="19"/>
      <c r="M396" t="str">
        <f t="shared" si="31"/>
        <v/>
      </c>
      <c r="N396" t="str">
        <f t="shared" si="32"/>
        <v/>
      </c>
    </row>
    <row r="397" spans="1:14" x14ac:dyDescent="0.25">
      <c r="A397" s="2" t="s">
        <v>140</v>
      </c>
      <c r="B397" s="21"/>
      <c r="C397" s="3"/>
      <c r="D397" s="14"/>
      <c r="E397" s="31"/>
      <c r="F397" s="45" t="s">
        <v>736</v>
      </c>
      <c r="G397" s="20">
        <f t="shared" si="33"/>
        <v>1</v>
      </c>
      <c r="H397" s="18"/>
      <c r="I397" s="19">
        <f t="shared" si="34"/>
        <v>0</v>
      </c>
      <c r="J397" s="19"/>
      <c r="K397" s="20"/>
      <c r="L397" s="19"/>
      <c r="M397" t="str">
        <f t="shared" si="31"/>
        <v/>
      </c>
      <c r="N397" t="str">
        <f t="shared" si="32"/>
        <v/>
      </c>
    </row>
    <row r="398" spans="1:14" x14ac:dyDescent="0.25">
      <c r="A398" s="2" t="s">
        <v>442</v>
      </c>
      <c r="B398" s="21"/>
      <c r="C398" s="3"/>
      <c r="D398" s="14"/>
      <c r="E398" s="31"/>
      <c r="F398" s="45" t="s">
        <v>737</v>
      </c>
      <c r="G398" s="20">
        <f t="shared" si="33"/>
        <v>1</v>
      </c>
      <c r="H398" s="18"/>
      <c r="I398" s="19">
        <f t="shared" si="34"/>
        <v>0</v>
      </c>
      <c r="J398" s="19"/>
      <c r="K398" s="20"/>
      <c r="L398" s="19"/>
      <c r="M398" t="str">
        <f t="shared" si="31"/>
        <v/>
      </c>
      <c r="N398" t="str">
        <f t="shared" si="32"/>
        <v/>
      </c>
    </row>
    <row r="399" spans="1:14" x14ac:dyDescent="0.25">
      <c r="A399" s="4" t="s">
        <v>532</v>
      </c>
      <c r="B399" s="1"/>
      <c r="C399" s="5" t="s">
        <v>5</v>
      </c>
      <c r="D399" s="13" t="s">
        <v>523</v>
      </c>
      <c r="E399" s="30">
        <v>10</v>
      </c>
      <c r="F399" s="43"/>
      <c r="G399" s="20">
        <f t="shared" si="33"/>
        <v>1</v>
      </c>
      <c r="H399" s="18"/>
      <c r="I399" s="19">
        <f t="shared" si="34"/>
        <v>1</v>
      </c>
      <c r="J399" s="19"/>
      <c r="K399" s="20"/>
      <c r="L399" s="19"/>
    </row>
    <row r="400" spans="1:14" x14ac:dyDescent="0.25">
      <c r="A400" s="4" t="s">
        <v>299</v>
      </c>
      <c r="B400" s="1"/>
      <c r="C400" s="5" t="s">
        <v>5</v>
      </c>
      <c r="D400" s="13"/>
      <c r="E400" s="30"/>
      <c r="F400" s="43"/>
      <c r="G400" s="20">
        <f t="shared" si="33"/>
        <v>1</v>
      </c>
      <c r="H400" s="18"/>
      <c r="I400" s="19">
        <f t="shared" si="34"/>
        <v>1</v>
      </c>
      <c r="J400" s="19"/>
      <c r="K400" s="20"/>
      <c r="L400" s="19"/>
      <c r="M400" t="str">
        <f t="shared" si="31"/>
        <v/>
      </c>
      <c r="N400" t="str">
        <f t="shared" si="32"/>
        <v/>
      </c>
    </row>
    <row r="401" spans="1:14" x14ac:dyDescent="0.25">
      <c r="A401" s="4" t="s">
        <v>324</v>
      </c>
      <c r="B401" s="1"/>
      <c r="C401" s="5" t="s">
        <v>5</v>
      </c>
      <c r="D401" s="13"/>
      <c r="E401" s="30"/>
      <c r="F401" s="43"/>
      <c r="G401" s="20">
        <f t="shared" si="33"/>
        <v>1</v>
      </c>
      <c r="H401" s="18"/>
      <c r="I401" s="19">
        <f t="shared" si="34"/>
        <v>1</v>
      </c>
      <c r="J401" s="19"/>
      <c r="K401" s="20"/>
      <c r="L401" s="19"/>
      <c r="M401" t="str">
        <f t="shared" si="31"/>
        <v/>
      </c>
      <c r="N401" t="str">
        <f t="shared" si="32"/>
        <v/>
      </c>
    </row>
    <row r="402" spans="1:14" x14ac:dyDescent="0.25">
      <c r="A402" s="2" t="s">
        <v>384</v>
      </c>
      <c r="B402" s="21"/>
      <c r="C402" s="3"/>
      <c r="D402" s="14" t="s">
        <v>430</v>
      </c>
      <c r="E402" s="31">
        <v>19</v>
      </c>
      <c r="F402" s="45" t="s">
        <v>738</v>
      </c>
      <c r="G402" s="20">
        <f t="shared" si="33"/>
        <v>1</v>
      </c>
      <c r="H402" s="18"/>
      <c r="I402" s="19">
        <f t="shared" si="34"/>
        <v>0</v>
      </c>
      <c r="J402" s="19"/>
      <c r="K402" s="20"/>
      <c r="L402" s="19"/>
      <c r="M402" t="str">
        <f t="shared" si="31"/>
        <v/>
      </c>
      <c r="N402" t="str">
        <f t="shared" si="32"/>
        <v/>
      </c>
    </row>
    <row r="403" spans="1:14" x14ac:dyDescent="0.25">
      <c r="A403" s="2" t="s">
        <v>391</v>
      </c>
      <c r="B403" s="21"/>
      <c r="C403" s="3"/>
      <c r="D403" s="14"/>
      <c r="E403" s="31"/>
      <c r="F403" s="45" t="s">
        <v>739</v>
      </c>
      <c r="G403" s="20">
        <f t="shared" si="33"/>
        <v>1</v>
      </c>
      <c r="H403" s="18"/>
      <c r="I403" s="19">
        <f t="shared" si="34"/>
        <v>0</v>
      </c>
      <c r="J403" s="19"/>
      <c r="K403" s="20"/>
      <c r="L403" s="19"/>
      <c r="M403" t="str">
        <f t="shared" si="31"/>
        <v/>
      </c>
      <c r="N403" t="str">
        <f t="shared" si="32"/>
        <v/>
      </c>
    </row>
    <row r="404" spans="1:14" x14ac:dyDescent="0.25">
      <c r="A404" s="2" t="s">
        <v>141</v>
      </c>
      <c r="B404" s="21"/>
      <c r="C404" s="3"/>
      <c r="D404" s="14"/>
      <c r="E404" s="31"/>
      <c r="F404" s="45" t="s">
        <v>740</v>
      </c>
      <c r="G404" s="20">
        <f t="shared" si="33"/>
        <v>1</v>
      </c>
      <c r="H404" s="18"/>
      <c r="I404" s="19">
        <f t="shared" si="34"/>
        <v>0</v>
      </c>
      <c r="J404" s="19"/>
      <c r="K404" s="20"/>
      <c r="L404" s="19"/>
      <c r="M404" t="str">
        <f t="shared" si="31"/>
        <v/>
      </c>
      <c r="N404" t="str">
        <f t="shared" si="32"/>
        <v/>
      </c>
    </row>
    <row r="405" spans="1:14" x14ac:dyDescent="0.25">
      <c r="A405" s="26" t="s">
        <v>496</v>
      </c>
      <c r="B405" s="27" t="s">
        <v>522</v>
      </c>
      <c r="C405" s="28"/>
      <c r="D405" s="29" t="s">
        <v>518</v>
      </c>
      <c r="E405" s="32">
        <v>24</v>
      </c>
      <c r="F405" s="71" t="s">
        <v>741</v>
      </c>
      <c r="G405" s="20">
        <f t="shared" si="33"/>
        <v>1</v>
      </c>
      <c r="H405" s="18"/>
      <c r="I405" s="19">
        <f t="shared" si="34"/>
        <v>0</v>
      </c>
      <c r="J405" s="19"/>
      <c r="K405" s="20"/>
      <c r="L405" s="19"/>
      <c r="M405" t="str">
        <f t="shared" si="31"/>
        <v/>
      </c>
      <c r="N405" t="str">
        <f t="shared" si="32"/>
        <v/>
      </c>
    </row>
    <row r="406" spans="1:14" x14ac:dyDescent="0.25">
      <c r="A406" s="2" t="s">
        <v>184</v>
      </c>
      <c r="B406" s="21"/>
      <c r="C406" s="3"/>
      <c r="D406" s="14"/>
      <c r="E406" s="31"/>
      <c r="F406" s="45" t="s">
        <v>742</v>
      </c>
      <c r="G406" s="20">
        <f t="shared" si="33"/>
        <v>1</v>
      </c>
      <c r="H406" s="18"/>
      <c r="I406" s="19">
        <f t="shared" si="34"/>
        <v>0</v>
      </c>
      <c r="J406" s="19"/>
      <c r="K406" s="20"/>
      <c r="L406" s="19"/>
      <c r="M406" t="str">
        <f t="shared" si="31"/>
        <v/>
      </c>
      <c r="N406" t="str">
        <f t="shared" si="32"/>
        <v/>
      </c>
    </row>
    <row r="407" spans="1:14" x14ac:dyDescent="0.25">
      <c r="A407" s="2" t="s">
        <v>142</v>
      </c>
      <c r="B407" s="21"/>
      <c r="C407" s="3"/>
      <c r="D407" s="14"/>
      <c r="E407" s="31"/>
      <c r="F407" s="45" t="s">
        <v>742</v>
      </c>
      <c r="G407" s="20">
        <f t="shared" si="33"/>
        <v>1</v>
      </c>
      <c r="H407" s="18"/>
      <c r="I407" s="19">
        <f t="shared" si="34"/>
        <v>0</v>
      </c>
      <c r="J407" s="19"/>
      <c r="K407" s="20"/>
      <c r="L407" s="19"/>
      <c r="M407" t="str">
        <f t="shared" ref="M407:M473" si="35">IF(B407=1,E407,"")</f>
        <v/>
      </c>
      <c r="N407" t="str">
        <f t="shared" ref="N407:N473" si="36">IF(B407=2,E407,"")</f>
        <v/>
      </c>
    </row>
    <row r="408" spans="1:14" x14ac:dyDescent="0.25">
      <c r="A408" s="4" t="s">
        <v>249</v>
      </c>
      <c r="B408" s="1"/>
      <c r="C408" s="5" t="s">
        <v>5</v>
      </c>
      <c r="D408" s="13"/>
      <c r="E408" s="30"/>
      <c r="F408" s="43"/>
      <c r="G408" s="20">
        <f t="shared" si="33"/>
        <v>1</v>
      </c>
      <c r="H408" s="18"/>
      <c r="I408" s="19">
        <f t="shared" si="34"/>
        <v>1</v>
      </c>
      <c r="J408" s="19"/>
      <c r="K408" s="20"/>
      <c r="L408" s="19"/>
      <c r="M408" t="str">
        <f t="shared" si="35"/>
        <v/>
      </c>
      <c r="N408" t="str">
        <f t="shared" si="36"/>
        <v/>
      </c>
    </row>
    <row r="409" spans="1:14" x14ac:dyDescent="0.25">
      <c r="A409" s="4" t="s">
        <v>406</v>
      </c>
      <c r="B409" s="1"/>
      <c r="C409" s="5" t="s">
        <v>5</v>
      </c>
      <c r="D409" s="13" t="s">
        <v>530</v>
      </c>
      <c r="E409" s="30">
        <v>12</v>
      </c>
      <c r="F409" s="43"/>
      <c r="G409" s="20">
        <f t="shared" si="33"/>
        <v>1</v>
      </c>
      <c r="H409" s="18"/>
      <c r="I409" s="19">
        <f t="shared" si="34"/>
        <v>1</v>
      </c>
      <c r="J409" s="19"/>
      <c r="K409" s="20"/>
      <c r="L409" s="19"/>
      <c r="M409" t="str">
        <f t="shared" si="35"/>
        <v/>
      </c>
      <c r="N409" t="str">
        <f t="shared" si="36"/>
        <v/>
      </c>
    </row>
    <row r="410" spans="1:14" x14ac:dyDescent="0.25">
      <c r="A410" s="2" t="s">
        <v>409</v>
      </c>
      <c r="B410" s="21"/>
      <c r="C410" s="3"/>
      <c r="D410" s="14"/>
      <c r="E410" s="31"/>
      <c r="F410" s="45" t="s">
        <v>743</v>
      </c>
      <c r="G410" s="20">
        <f t="shared" si="33"/>
        <v>1</v>
      </c>
      <c r="H410" s="18"/>
      <c r="I410" s="19">
        <f t="shared" si="34"/>
        <v>0</v>
      </c>
      <c r="J410" s="19"/>
      <c r="K410" s="20"/>
      <c r="L410" s="19"/>
      <c r="M410" t="str">
        <f t="shared" si="35"/>
        <v/>
      </c>
      <c r="N410" t="str">
        <f t="shared" si="36"/>
        <v/>
      </c>
    </row>
    <row r="411" spans="1:14" x14ac:dyDescent="0.25">
      <c r="A411" s="4" t="s">
        <v>464</v>
      </c>
      <c r="B411" s="1"/>
      <c r="C411" s="5" t="s">
        <v>5</v>
      </c>
      <c r="D411" s="13" t="s">
        <v>465</v>
      </c>
      <c r="E411" s="30"/>
      <c r="F411" s="43"/>
      <c r="G411" s="20">
        <f t="shared" si="33"/>
        <v>1</v>
      </c>
      <c r="H411" s="18"/>
      <c r="I411" s="19">
        <f t="shared" si="34"/>
        <v>1</v>
      </c>
      <c r="J411" s="19"/>
      <c r="K411" s="20"/>
      <c r="L411" s="19"/>
      <c r="M411" t="str">
        <f t="shared" si="35"/>
        <v/>
      </c>
      <c r="N411" t="str">
        <f t="shared" si="36"/>
        <v/>
      </c>
    </row>
    <row r="412" spans="1:14" x14ac:dyDescent="0.25">
      <c r="A412" s="4" t="s">
        <v>143</v>
      </c>
      <c r="B412" s="1"/>
      <c r="C412" s="5" t="s">
        <v>5</v>
      </c>
      <c r="D412" s="13"/>
      <c r="E412" s="30"/>
      <c r="F412" s="43"/>
      <c r="G412" s="20">
        <f t="shared" si="33"/>
        <v>1</v>
      </c>
      <c r="H412" s="18"/>
      <c r="I412" s="19">
        <f t="shared" si="34"/>
        <v>1</v>
      </c>
      <c r="J412" s="19"/>
      <c r="K412" s="20"/>
      <c r="L412" s="19"/>
      <c r="M412" t="str">
        <f t="shared" si="35"/>
        <v/>
      </c>
      <c r="N412" t="str">
        <f t="shared" si="36"/>
        <v/>
      </c>
    </row>
    <row r="413" spans="1:14" x14ac:dyDescent="0.25">
      <c r="A413" s="4" t="s">
        <v>179</v>
      </c>
      <c r="B413" s="1"/>
      <c r="C413" s="5" t="s">
        <v>5</v>
      </c>
      <c r="D413" s="13"/>
      <c r="E413" s="30"/>
      <c r="F413" s="43"/>
      <c r="G413" s="20">
        <f t="shared" si="33"/>
        <v>1</v>
      </c>
      <c r="H413" s="18"/>
      <c r="I413" s="19">
        <f t="shared" si="34"/>
        <v>1</v>
      </c>
      <c r="J413" s="19"/>
      <c r="K413" s="20"/>
      <c r="L413" s="19"/>
      <c r="M413" t="str">
        <f t="shared" si="35"/>
        <v/>
      </c>
      <c r="N413" t="str">
        <f t="shared" si="36"/>
        <v/>
      </c>
    </row>
    <row r="414" spans="1:14" x14ac:dyDescent="0.25">
      <c r="A414" s="4" t="s">
        <v>144</v>
      </c>
      <c r="B414" s="1"/>
      <c r="C414" s="5" t="s">
        <v>5</v>
      </c>
      <c r="D414" s="13" t="s">
        <v>509</v>
      </c>
      <c r="E414" s="30">
        <v>17.190000000000001</v>
      </c>
      <c r="F414" s="43"/>
      <c r="G414" s="20">
        <f t="shared" si="33"/>
        <v>1</v>
      </c>
      <c r="H414" s="18"/>
      <c r="I414" s="19">
        <f t="shared" si="34"/>
        <v>1</v>
      </c>
      <c r="J414" s="19"/>
      <c r="K414" s="20"/>
      <c r="L414" s="19"/>
      <c r="M414" t="str">
        <f t="shared" si="35"/>
        <v/>
      </c>
      <c r="N414" t="str">
        <f t="shared" si="36"/>
        <v/>
      </c>
    </row>
    <row r="415" spans="1:14" x14ac:dyDescent="0.25">
      <c r="A415" s="2" t="s">
        <v>145</v>
      </c>
      <c r="B415" s="21"/>
      <c r="C415" s="3"/>
      <c r="D415" s="14">
        <v>558</v>
      </c>
      <c r="E415" s="31"/>
      <c r="F415" s="45" t="s">
        <v>744</v>
      </c>
      <c r="G415" s="20">
        <f t="shared" si="33"/>
        <v>1</v>
      </c>
      <c r="H415" s="18"/>
      <c r="I415" s="19">
        <f t="shared" si="34"/>
        <v>0</v>
      </c>
      <c r="J415" s="19"/>
      <c r="K415" s="20"/>
      <c r="L415" s="19"/>
    </row>
    <row r="416" spans="1:14" x14ac:dyDescent="0.25">
      <c r="A416" s="2" t="s">
        <v>300</v>
      </c>
      <c r="B416" s="21"/>
      <c r="C416" s="3"/>
      <c r="D416" s="14"/>
      <c r="E416" s="31"/>
      <c r="F416" s="45" t="s">
        <v>745</v>
      </c>
      <c r="G416" s="20">
        <f t="shared" si="33"/>
        <v>1</v>
      </c>
      <c r="H416" s="18"/>
      <c r="I416" s="19">
        <f t="shared" si="34"/>
        <v>0</v>
      </c>
      <c r="J416" s="19"/>
      <c r="K416" s="20"/>
      <c r="L416" s="19"/>
      <c r="M416" t="str">
        <f t="shared" si="35"/>
        <v/>
      </c>
      <c r="N416" t="str">
        <f t="shared" si="36"/>
        <v/>
      </c>
    </row>
    <row r="417" spans="1:14" x14ac:dyDescent="0.25">
      <c r="A417" s="4" t="s">
        <v>228</v>
      </c>
      <c r="B417" s="1"/>
      <c r="C417" s="5" t="s">
        <v>5</v>
      </c>
      <c r="D417" s="13"/>
      <c r="E417" s="30"/>
      <c r="F417" s="43"/>
      <c r="G417" s="20">
        <f t="shared" si="33"/>
        <v>1</v>
      </c>
      <c r="H417" s="18"/>
      <c r="I417" s="19">
        <f t="shared" si="34"/>
        <v>1</v>
      </c>
      <c r="J417" s="19"/>
      <c r="K417" s="20"/>
      <c r="L417" s="19"/>
      <c r="M417" t="str">
        <f t="shared" si="35"/>
        <v/>
      </c>
      <c r="N417" t="str">
        <f t="shared" si="36"/>
        <v/>
      </c>
    </row>
    <row r="418" spans="1:14" x14ac:dyDescent="0.25">
      <c r="A418" s="4" t="s">
        <v>275</v>
      </c>
      <c r="B418" s="1"/>
      <c r="C418" s="5" t="s">
        <v>5</v>
      </c>
      <c r="D418" s="13" t="s">
        <v>475</v>
      </c>
      <c r="E418" s="30">
        <v>23</v>
      </c>
      <c r="F418" s="43"/>
      <c r="G418" s="20">
        <f t="shared" si="33"/>
        <v>1</v>
      </c>
      <c r="H418" s="18"/>
      <c r="I418" s="19">
        <f t="shared" si="34"/>
        <v>1</v>
      </c>
      <c r="J418" s="19"/>
      <c r="K418" s="20"/>
      <c r="L418" s="19"/>
      <c r="M418" t="str">
        <f t="shared" si="35"/>
        <v/>
      </c>
      <c r="N418" t="str">
        <f t="shared" si="36"/>
        <v/>
      </c>
    </row>
    <row r="419" spans="1:14" x14ac:dyDescent="0.25">
      <c r="A419" s="4" t="s">
        <v>497</v>
      </c>
      <c r="B419" s="1"/>
      <c r="C419" s="5" t="s">
        <v>5</v>
      </c>
      <c r="D419" s="13"/>
      <c r="E419" s="30"/>
      <c r="F419" s="43"/>
      <c r="G419" s="20">
        <f t="shared" si="33"/>
        <v>1</v>
      </c>
      <c r="H419" s="18"/>
      <c r="I419" s="19">
        <f t="shared" si="34"/>
        <v>1</v>
      </c>
      <c r="J419" s="19"/>
      <c r="K419" s="20"/>
      <c r="L419" s="19"/>
      <c r="M419" t="str">
        <f t="shared" si="35"/>
        <v/>
      </c>
      <c r="N419" t="str">
        <f t="shared" si="36"/>
        <v/>
      </c>
    </row>
    <row r="420" spans="1:14" x14ac:dyDescent="0.25">
      <c r="A420" s="4" t="s">
        <v>229</v>
      </c>
      <c r="B420" s="1"/>
      <c r="C420" s="5" t="s">
        <v>5</v>
      </c>
      <c r="D420" s="13">
        <v>8</v>
      </c>
      <c r="E420" s="30"/>
      <c r="F420" s="43"/>
      <c r="G420" s="20">
        <f t="shared" si="33"/>
        <v>1</v>
      </c>
      <c r="H420" s="18"/>
      <c r="I420" s="19">
        <f t="shared" si="34"/>
        <v>1</v>
      </c>
      <c r="J420" s="19"/>
      <c r="K420" s="20"/>
      <c r="L420" s="19"/>
      <c r="M420" t="str">
        <f t="shared" si="35"/>
        <v/>
      </c>
      <c r="N420" t="str">
        <f t="shared" si="36"/>
        <v/>
      </c>
    </row>
    <row r="421" spans="1:14" x14ac:dyDescent="0.25">
      <c r="A421" s="4" t="s">
        <v>146</v>
      </c>
      <c r="B421" s="1"/>
      <c r="C421" s="5" t="s">
        <v>5</v>
      </c>
      <c r="D421" s="13" t="s">
        <v>422</v>
      </c>
      <c r="E421" s="30"/>
      <c r="F421" s="43"/>
      <c r="G421" s="20">
        <f t="shared" si="33"/>
        <v>1</v>
      </c>
      <c r="H421" s="18"/>
      <c r="I421" s="19">
        <f t="shared" si="34"/>
        <v>1</v>
      </c>
      <c r="J421" s="19"/>
      <c r="K421" s="20"/>
      <c r="L421" s="19"/>
      <c r="M421" t="str">
        <f t="shared" si="35"/>
        <v/>
      </c>
      <c r="N421" t="str">
        <f t="shared" si="36"/>
        <v/>
      </c>
    </row>
    <row r="422" spans="1:14" x14ac:dyDescent="0.25">
      <c r="A422" s="2" t="s">
        <v>383</v>
      </c>
      <c r="B422" s="21"/>
      <c r="C422" s="3"/>
      <c r="D422" s="14"/>
      <c r="E422" s="31"/>
      <c r="F422" s="45" t="s">
        <v>746</v>
      </c>
      <c r="G422" s="20">
        <f t="shared" si="33"/>
        <v>1</v>
      </c>
      <c r="H422" s="18"/>
      <c r="I422" s="19">
        <f t="shared" si="34"/>
        <v>0</v>
      </c>
      <c r="J422" s="19"/>
      <c r="K422" s="20"/>
      <c r="L422" s="19"/>
      <c r="M422" t="str">
        <f t="shared" si="35"/>
        <v/>
      </c>
      <c r="N422" t="str">
        <f t="shared" si="36"/>
        <v/>
      </c>
    </row>
    <row r="423" spans="1:14" x14ac:dyDescent="0.25">
      <c r="A423" s="2" t="s">
        <v>230</v>
      </c>
      <c r="B423" s="21"/>
      <c r="C423" s="3"/>
      <c r="D423" s="14"/>
      <c r="E423" s="31"/>
      <c r="F423" s="45" t="s">
        <v>747</v>
      </c>
      <c r="G423" s="20">
        <f t="shared" si="33"/>
        <v>1</v>
      </c>
      <c r="H423" s="18"/>
      <c r="I423" s="19">
        <f t="shared" si="34"/>
        <v>0</v>
      </c>
      <c r="J423" s="19"/>
      <c r="K423" s="20"/>
      <c r="L423" s="19"/>
      <c r="M423" t="str">
        <f t="shared" si="35"/>
        <v/>
      </c>
      <c r="N423" t="str">
        <f t="shared" si="36"/>
        <v/>
      </c>
    </row>
    <row r="424" spans="1:14" x14ac:dyDescent="0.25">
      <c r="A424" s="4" t="s">
        <v>147</v>
      </c>
      <c r="B424" s="1"/>
      <c r="C424" s="5" t="s">
        <v>5</v>
      </c>
      <c r="D424" s="13" t="s">
        <v>430</v>
      </c>
      <c r="E424" s="30">
        <v>12</v>
      </c>
      <c r="F424" s="43"/>
      <c r="G424" s="20">
        <f t="shared" si="33"/>
        <v>1</v>
      </c>
      <c r="H424" s="18"/>
      <c r="I424" s="19">
        <f t="shared" si="34"/>
        <v>1</v>
      </c>
      <c r="J424" s="19"/>
      <c r="K424" s="20"/>
      <c r="L424" s="19"/>
      <c r="M424" t="str">
        <f t="shared" si="35"/>
        <v/>
      </c>
      <c r="N424" t="str">
        <f t="shared" si="36"/>
        <v/>
      </c>
    </row>
    <row r="425" spans="1:14" x14ac:dyDescent="0.25">
      <c r="A425" s="4" t="s">
        <v>399</v>
      </c>
      <c r="B425" s="1"/>
      <c r="C425" s="5" t="s">
        <v>5</v>
      </c>
      <c r="D425" s="13"/>
      <c r="E425" s="30"/>
      <c r="F425" s="43"/>
      <c r="G425" s="20">
        <f t="shared" si="33"/>
        <v>1</v>
      </c>
      <c r="H425" s="18"/>
      <c r="I425" s="19">
        <f t="shared" si="34"/>
        <v>1</v>
      </c>
      <c r="J425" s="19"/>
      <c r="K425" s="20"/>
      <c r="L425" s="19"/>
      <c r="M425" t="str">
        <f t="shared" si="35"/>
        <v/>
      </c>
      <c r="N425" t="str">
        <f t="shared" si="36"/>
        <v/>
      </c>
    </row>
    <row r="426" spans="1:14" x14ac:dyDescent="0.25">
      <c r="A426" s="4" t="s">
        <v>276</v>
      </c>
      <c r="B426" s="1"/>
      <c r="C426" s="5" t="s">
        <v>5</v>
      </c>
      <c r="D426" s="13"/>
      <c r="E426" s="30"/>
      <c r="F426" s="43"/>
      <c r="G426" s="20">
        <f t="shared" si="33"/>
        <v>1</v>
      </c>
      <c r="H426" s="18"/>
      <c r="I426" s="19">
        <f t="shared" si="34"/>
        <v>1</v>
      </c>
      <c r="J426" s="19"/>
      <c r="K426" s="20"/>
      <c r="L426" s="19"/>
      <c r="M426" t="str">
        <f t="shared" si="35"/>
        <v/>
      </c>
      <c r="N426" t="str">
        <f t="shared" si="36"/>
        <v/>
      </c>
    </row>
    <row r="427" spans="1:14" x14ac:dyDescent="0.25">
      <c r="A427" s="4" t="s">
        <v>507</v>
      </c>
      <c r="B427" s="1"/>
      <c r="C427" s="5" t="s">
        <v>5</v>
      </c>
      <c r="D427" s="13" t="s">
        <v>493</v>
      </c>
      <c r="E427" s="30">
        <v>8.8800000000000008</v>
      </c>
      <c r="F427" s="43"/>
      <c r="G427" s="20">
        <f t="shared" si="33"/>
        <v>1</v>
      </c>
      <c r="H427" s="18"/>
      <c r="I427" s="19">
        <f t="shared" si="34"/>
        <v>1</v>
      </c>
      <c r="J427" s="19"/>
      <c r="K427" s="20"/>
      <c r="L427" s="19"/>
      <c r="M427" t="str">
        <f t="shared" si="35"/>
        <v/>
      </c>
      <c r="N427" t="str">
        <f t="shared" si="36"/>
        <v/>
      </c>
    </row>
    <row r="428" spans="1:14" x14ac:dyDescent="0.25">
      <c r="A428" s="2" t="s">
        <v>250</v>
      </c>
      <c r="B428" s="21"/>
      <c r="C428" s="3"/>
      <c r="D428" s="14" t="s">
        <v>749</v>
      </c>
      <c r="E428" s="31"/>
      <c r="F428" s="45" t="s">
        <v>748</v>
      </c>
      <c r="G428" s="20">
        <f t="shared" si="33"/>
        <v>1</v>
      </c>
      <c r="H428" s="18"/>
      <c r="I428" s="19">
        <f t="shared" si="34"/>
        <v>0</v>
      </c>
      <c r="J428" s="19"/>
      <c r="K428" s="20"/>
      <c r="L428" s="19"/>
    </row>
    <row r="429" spans="1:14" x14ac:dyDescent="0.25">
      <c r="A429" s="4" t="s">
        <v>292</v>
      </c>
      <c r="B429" s="1"/>
      <c r="C429" s="5" t="s">
        <v>5</v>
      </c>
      <c r="D429" s="13"/>
      <c r="E429" s="30"/>
      <c r="F429" s="43"/>
      <c r="G429" s="20">
        <f t="shared" si="33"/>
        <v>1</v>
      </c>
      <c r="H429" s="18"/>
      <c r="I429" s="19">
        <f t="shared" si="34"/>
        <v>1</v>
      </c>
      <c r="J429" s="19"/>
      <c r="K429" s="20"/>
      <c r="L429" s="19"/>
      <c r="M429" t="str">
        <f t="shared" si="35"/>
        <v/>
      </c>
      <c r="N429" t="str">
        <f t="shared" si="36"/>
        <v/>
      </c>
    </row>
    <row r="430" spans="1:14" x14ac:dyDescent="0.25">
      <c r="A430" s="2" t="s">
        <v>293</v>
      </c>
      <c r="B430" s="21"/>
      <c r="C430" s="3"/>
      <c r="D430" s="14" t="s">
        <v>751</v>
      </c>
      <c r="E430" s="31"/>
      <c r="F430" s="45" t="s">
        <v>793</v>
      </c>
      <c r="G430" s="20">
        <f t="shared" si="33"/>
        <v>1</v>
      </c>
      <c r="H430" s="18"/>
      <c r="I430" s="19">
        <f t="shared" si="34"/>
        <v>0</v>
      </c>
      <c r="J430" s="19"/>
      <c r="K430" s="20"/>
      <c r="L430" s="19"/>
      <c r="M430" t="str">
        <f t="shared" si="35"/>
        <v/>
      </c>
      <c r="N430" t="str">
        <f t="shared" si="36"/>
        <v/>
      </c>
    </row>
    <row r="431" spans="1:14" x14ac:dyDescent="0.25">
      <c r="A431" s="2" t="s">
        <v>291</v>
      </c>
      <c r="B431" s="21"/>
      <c r="C431" s="3"/>
      <c r="D431" s="14"/>
      <c r="E431" s="31"/>
      <c r="F431" s="45" t="s">
        <v>750</v>
      </c>
      <c r="G431" s="20">
        <f t="shared" si="33"/>
        <v>1</v>
      </c>
      <c r="H431" s="18"/>
      <c r="I431" s="19">
        <f t="shared" si="34"/>
        <v>0</v>
      </c>
      <c r="J431" s="19"/>
      <c r="K431" s="20"/>
      <c r="L431" s="19"/>
      <c r="M431" t="str">
        <f t="shared" si="35"/>
        <v/>
      </c>
      <c r="N431" t="str">
        <f t="shared" si="36"/>
        <v/>
      </c>
    </row>
    <row r="432" spans="1:14" x14ac:dyDescent="0.25">
      <c r="A432" s="4" t="s">
        <v>294</v>
      </c>
      <c r="B432" s="1"/>
      <c r="C432" s="5" t="s">
        <v>5</v>
      </c>
      <c r="D432" s="13"/>
      <c r="E432" s="30"/>
      <c r="F432" s="43"/>
      <c r="G432" s="20">
        <f t="shared" si="33"/>
        <v>1</v>
      </c>
      <c r="H432" s="18"/>
      <c r="I432" s="19">
        <f t="shared" si="34"/>
        <v>1</v>
      </c>
      <c r="J432" s="19"/>
      <c r="K432" s="20"/>
      <c r="L432" s="19"/>
      <c r="M432" t="str">
        <f t="shared" si="35"/>
        <v/>
      </c>
      <c r="N432" t="str">
        <f t="shared" si="36"/>
        <v/>
      </c>
    </row>
    <row r="433" spans="1:14" x14ac:dyDescent="0.25">
      <c r="A433" s="4" t="s">
        <v>236</v>
      </c>
      <c r="B433" s="1"/>
      <c r="C433" s="5" t="s">
        <v>5</v>
      </c>
      <c r="D433" s="13"/>
      <c r="E433" s="30"/>
      <c r="F433" s="43"/>
      <c r="G433" s="20">
        <f t="shared" si="33"/>
        <v>1</v>
      </c>
      <c r="H433" s="18"/>
      <c r="I433" s="19">
        <f t="shared" si="34"/>
        <v>1</v>
      </c>
      <c r="J433" s="19"/>
      <c r="K433" s="20"/>
      <c r="L433" s="19"/>
      <c r="M433" t="str">
        <f t="shared" si="35"/>
        <v/>
      </c>
      <c r="N433" t="str">
        <f t="shared" si="36"/>
        <v/>
      </c>
    </row>
    <row r="434" spans="1:14" x14ac:dyDescent="0.25">
      <c r="A434" s="4" t="s">
        <v>372</v>
      </c>
      <c r="B434" s="1"/>
      <c r="C434" s="5" t="s">
        <v>5</v>
      </c>
      <c r="D434" s="13"/>
      <c r="E434" s="30"/>
      <c r="F434" s="43"/>
      <c r="G434" s="20">
        <f t="shared" si="33"/>
        <v>1</v>
      </c>
      <c r="H434" s="18"/>
      <c r="I434" s="19">
        <f t="shared" si="34"/>
        <v>1</v>
      </c>
      <c r="J434" s="19"/>
      <c r="K434" s="20"/>
      <c r="L434" s="19"/>
      <c r="M434" t="str">
        <f t="shared" si="35"/>
        <v/>
      </c>
      <c r="N434" t="str">
        <f t="shared" si="36"/>
        <v/>
      </c>
    </row>
    <row r="435" spans="1:14" x14ac:dyDescent="0.25">
      <c r="A435" s="2" t="s">
        <v>277</v>
      </c>
      <c r="B435" s="21"/>
      <c r="C435" s="3"/>
      <c r="D435" s="14"/>
      <c r="E435" s="31"/>
      <c r="F435" s="45" t="s">
        <v>752</v>
      </c>
      <c r="G435" s="20">
        <f t="shared" si="33"/>
        <v>1</v>
      </c>
      <c r="H435" s="18"/>
      <c r="I435" s="19">
        <f t="shared" si="34"/>
        <v>0</v>
      </c>
      <c r="J435" s="19"/>
      <c r="K435" s="20"/>
      <c r="L435" s="19"/>
      <c r="M435" t="str">
        <f t="shared" si="35"/>
        <v/>
      </c>
      <c r="N435" t="str">
        <f t="shared" si="36"/>
        <v/>
      </c>
    </row>
    <row r="436" spans="1:14" x14ac:dyDescent="0.25">
      <c r="A436" s="4" t="s">
        <v>353</v>
      </c>
      <c r="B436" s="1"/>
      <c r="C436" s="5" t="s">
        <v>5</v>
      </c>
      <c r="D436" s="13" t="s">
        <v>422</v>
      </c>
      <c r="E436" s="30"/>
      <c r="F436" s="43"/>
      <c r="G436" s="20">
        <f t="shared" si="33"/>
        <v>1</v>
      </c>
      <c r="H436" s="18"/>
      <c r="I436" s="19">
        <f t="shared" si="34"/>
        <v>1</v>
      </c>
      <c r="J436" s="19"/>
      <c r="K436" s="20"/>
      <c r="L436" s="19"/>
      <c r="M436" t="str">
        <f t="shared" si="35"/>
        <v/>
      </c>
      <c r="N436" t="str">
        <f t="shared" si="36"/>
        <v/>
      </c>
    </row>
    <row r="437" spans="1:14" x14ac:dyDescent="0.25">
      <c r="A437" s="4" t="s">
        <v>251</v>
      </c>
      <c r="B437" s="1"/>
      <c r="C437" s="5" t="s">
        <v>5</v>
      </c>
      <c r="D437" s="13"/>
      <c r="E437" s="30"/>
      <c r="F437" s="43"/>
      <c r="G437" s="20">
        <f t="shared" si="33"/>
        <v>1</v>
      </c>
      <c r="H437" s="18"/>
      <c r="I437" s="19">
        <f t="shared" si="34"/>
        <v>1</v>
      </c>
      <c r="J437" s="19"/>
      <c r="K437" s="20"/>
      <c r="L437" s="19"/>
      <c r="M437" t="str">
        <f t="shared" si="35"/>
        <v/>
      </c>
      <c r="N437" t="str">
        <f t="shared" si="36"/>
        <v/>
      </c>
    </row>
    <row r="438" spans="1:14" x14ac:dyDescent="0.25">
      <c r="A438" s="2" t="s">
        <v>754</v>
      </c>
      <c r="B438" s="21"/>
      <c r="C438" s="3"/>
      <c r="D438" s="14"/>
      <c r="E438" s="31"/>
      <c r="F438" s="45" t="s">
        <v>753</v>
      </c>
      <c r="G438" s="20">
        <f t="shared" si="33"/>
        <v>1</v>
      </c>
      <c r="H438" s="18"/>
      <c r="I438" s="19">
        <f t="shared" si="34"/>
        <v>0</v>
      </c>
      <c r="J438" s="19"/>
      <c r="K438" s="20"/>
      <c r="L438" s="19"/>
      <c r="M438" t="str">
        <f t="shared" si="35"/>
        <v/>
      </c>
      <c r="N438" t="str">
        <f t="shared" si="36"/>
        <v/>
      </c>
    </row>
    <row r="439" spans="1:14" x14ac:dyDescent="0.25">
      <c r="A439" s="4" t="s">
        <v>148</v>
      </c>
      <c r="B439" s="1"/>
      <c r="C439" s="5" t="s">
        <v>5</v>
      </c>
      <c r="D439" s="13" t="s">
        <v>446</v>
      </c>
      <c r="E439" s="30"/>
      <c r="F439" s="43"/>
      <c r="G439" s="20">
        <f t="shared" si="33"/>
        <v>1</v>
      </c>
      <c r="H439" s="18"/>
      <c r="I439" s="19">
        <f t="shared" si="34"/>
        <v>1</v>
      </c>
      <c r="J439" s="19"/>
      <c r="K439" s="20"/>
      <c r="L439" s="19"/>
    </row>
    <row r="440" spans="1:14" x14ac:dyDescent="0.25">
      <c r="A440" s="4" t="s">
        <v>149</v>
      </c>
      <c r="B440" s="1"/>
      <c r="C440" s="5" t="s">
        <v>5</v>
      </c>
      <c r="D440" s="13" t="s">
        <v>422</v>
      </c>
      <c r="E440" s="30"/>
      <c r="F440" s="43"/>
      <c r="G440" s="20">
        <f t="shared" si="33"/>
        <v>1</v>
      </c>
      <c r="H440" s="18"/>
      <c r="I440" s="19">
        <f t="shared" si="34"/>
        <v>1</v>
      </c>
      <c r="J440" s="19"/>
      <c r="K440" s="20"/>
      <c r="L440" s="19"/>
      <c r="M440" t="str">
        <f t="shared" si="35"/>
        <v/>
      </c>
      <c r="N440" t="str">
        <f t="shared" si="36"/>
        <v/>
      </c>
    </row>
    <row r="441" spans="1:14" x14ac:dyDescent="0.25">
      <c r="A441" s="2" t="s">
        <v>150</v>
      </c>
      <c r="B441" s="21"/>
      <c r="C441" s="3"/>
      <c r="D441" s="14" t="s">
        <v>749</v>
      </c>
      <c r="E441" s="31"/>
      <c r="F441" s="45" t="s">
        <v>755</v>
      </c>
      <c r="G441" s="20">
        <f t="shared" si="33"/>
        <v>1</v>
      </c>
      <c r="H441" s="18"/>
      <c r="I441" s="19">
        <f t="shared" si="34"/>
        <v>0</v>
      </c>
      <c r="J441" s="19"/>
      <c r="K441" s="20"/>
      <c r="L441" s="19"/>
      <c r="M441" t="str">
        <f t="shared" si="35"/>
        <v/>
      </c>
      <c r="N441" t="str">
        <f t="shared" si="36"/>
        <v/>
      </c>
    </row>
    <row r="442" spans="1:14" x14ac:dyDescent="0.25">
      <c r="A442" s="4" t="s">
        <v>252</v>
      </c>
      <c r="B442" s="1"/>
      <c r="C442" s="5" t="s">
        <v>5</v>
      </c>
      <c r="D442" s="13"/>
      <c r="E442" s="30"/>
      <c r="F442" s="43"/>
      <c r="G442" s="20">
        <f t="shared" si="33"/>
        <v>1</v>
      </c>
      <c r="H442" s="18"/>
      <c r="I442" s="19">
        <f t="shared" si="34"/>
        <v>1</v>
      </c>
      <c r="J442" s="19"/>
      <c r="K442" s="20"/>
      <c r="L442" s="19"/>
      <c r="M442" t="str">
        <f t="shared" si="35"/>
        <v/>
      </c>
      <c r="N442" t="str">
        <f t="shared" si="36"/>
        <v/>
      </c>
    </row>
    <row r="443" spans="1:14" x14ac:dyDescent="0.25">
      <c r="A443" s="4" t="s">
        <v>404</v>
      </c>
      <c r="B443" s="1"/>
      <c r="C443" s="5" t="s">
        <v>5</v>
      </c>
      <c r="D443" s="13"/>
      <c r="E443" s="30"/>
      <c r="F443" s="43"/>
      <c r="G443" s="20">
        <f t="shared" si="33"/>
        <v>1</v>
      </c>
      <c r="H443" s="18"/>
      <c r="I443" s="19">
        <f t="shared" si="34"/>
        <v>1</v>
      </c>
      <c r="J443" s="19"/>
      <c r="K443" s="20"/>
      <c r="L443" s="19"/>
      <c r="M443" t="str">
        <f t="shared" si="35"/>
        <v/>
      </c>
      <c r="N443" t="str">
        <f t="shared" si="36"/>
        <v/>
      </c>
    </row>
    <row r="444" spans="1:14" x14ac:dyDescent="0.25">
      <c r="A444" s="4" t="s">
        <v>151</v>
      </c>
      <c r="B444" s="1"/>
      <c r="C444" s="5" t="s">
        <v>5</v>
      </c>
      <c r="D444" s="13" t="s">
        <v>422</v>
      </c>
      <c r="E444" s="30"/>
      <c r="F444" s="43"/>
      <c r="G444" s="20">
        <f t="shared" si="33"/>
        <v>1</v>
      </c>
      <c r="H444" s="18"/>
      <c r="I444" s="19">
        <f t="shared" si="34"/>
        <v>1</v>
      </c>
      <c r="J444" s="19"/>
      <c r="K444" s="20"/>
      <c r="L444" s="19"/>
      <c r="M444" t="str">
        <f t="shared" si="35"/>
        <v/>
      </c>
      <c r="N444" t="str">
        <f t="shared" si="36"/>
        <v/>
      </c>
    </row>
    <row r="445" spans="1:14" x14ac:dyDescent="0.25">
      <c r="A445" s="4" t="s">
        <v>152</v>
      </c>
      <c r="B445" s="1"/>
      <c r="C445" s="5" t="s">
        <v>5</v>
      </c>
      <c r="D445" s="13" t="s">
        <v>493</v>
      </c>
      <c r="E445" s="30">
        <v>16.579999999999998</v>
      </c>
      <c r="F445" s="46"/>
      <c r="G445" s="20">
        <f t="shared" si="33"/>
        <v>1</v>
      </c>
      <c r="H445" s="18"/>
      <c r="I445" s="19">
        <f t="shared" si="34"/>
        <v>1</v>
      </c>
      <c r="J445" s="19"/>
      <c r="K445" s="20"/>
      <c r="L445" s="19"/>
      <c r="M445" t="str">
        <f t="shared" si="35"/>
        <v/>
      </c>
      <c r="N445" t="str">
        <f t="shared" si="36"/>
        <v/>
      </c>
    </row>
    <row r="446" spans="1:14" x14ac:dyDescent="0.25">
      <c r="A446" s="4" t="s">
        <v>153</v>
      </c>
      <c r="B446" s="1"/>
      <c r="C446" s="5" t="s">
        <v>5</v>
      </c>
      <c r="D446" s="13" t="s">
        <v>430</v>
      </c>
      <c r="E446" s="30">
        <v>11</v>
      </c>
      <c r="F446" s="43"/>
      <c r="G446" s="20">
        <f t="shared" si="33"/>
        <v>1</v>
      </c>
      <c r="H446" s="18"/>
      <c r="I446" s="19">
        <f t="shared" si="34"/>
        <v>1</v>
      </c>
      <c r="J446" s="19"/>
      <c r="K446" s="20"/>
      <c r="L446" s="19"/>
      <c r="M446" t="str">
        <f t="shared" si="35"/>
        <v/>
      </c>
      <c r="N446" t="str">
        <f t="shared" si="36"/>
        <v/>
      </c>
    </row>
    <row r="447" spans="1:14" x14ac:dyDescent="0.25">
      <c r="A447" s="4" t="s">
        <v>154</v>
      </c>
      <c r="B447" s="1"/>
      <c r="C447" s="5" t="s">
        <v>5</v>
      </c>
      <c r="D447" s="13" t="s">
        <v>471</v>
      </c>
      <c r="E447" s="30"/>
      <c r="F447" s="43"/>
      <c r="G447" s="20">
        <f t="shared" si="33"/>
        <v>1</v>
      </c>
      <c r="H447" s="18"/>
      <c r="I447" s="19">
        <f t="shared" si="34"/>
        <v>1</v>
      </c>
      <c r="J447" s="19"/>
      <c r="K447" s="20"/>
      <c r="L447" s="19"/>
      <c r="M447" t="str">
        <f t="shared" si="35"/>
        <v/>
      </c>
      <c r="N447" t="str">
        <f t="shared" si="36"/>
        <v/>
      </c>
    </row>
    <row r="448" spans="1:14" x14ac:dyDescent="0.25">
      <c r="A448" s="2" t="s">
        <v>487</v>
      </c>
      <c r="B448" s="21"/>
      <c r="C448" s="3"/>
      <c r="D448" s="14" t="s">
        <v>488</v>
      </c>
      <c r="E448" s="31"/>
      <c r="F448" s="45" t="s">
        <v>756</v>
      </c>
      <c r="G448" s="20">
        <f t="shared" si="33"/>
        <v>1</v>
      </c>
      <c r="H448" s="18"/>
      <c r="I448" s="19">
        <f t="shared" si="34"/>
        <v>0</v>
      </c>
      <c r="J448" s="19"/>
      <c r="K448" s="20"/>
      <c r="L448" s="19"/>
      <c r="M448" t="str">
        <f t="shared" si="35"/>
        <v/>
      </c>
      <c r="N448" t="str">
        <f t="shared" si="36"/>
        <v/>
      </c>
    </row>
    <row r="449" spans="1:14" x14ac:dyDescent="0.25">
      <c r="A449" s="4" t="s">
        <v>155</v>
      </c>
      <c r="B449" s="1"/>
      <c r="C449" s="5" t="s">
        <v>5</v>
      </c>
      <c r="D449" s="13"/>
      <c r="E449" s="30"/>
      <c r="F449" s="43"/>
      <c r="G449" s="20">
        <f t="shared" si="33"/>
        <v>1</v>
      </c>
      <c r="H449" s="18"/>
      <c r="I449" s="19">
        <f t="shared" si="34"/>
        <v>1</v>
      </c>
      <c r="J449" s="19"/>
      <c r="K449" s="20"/>
      <c r="L449" s="19"/>
      <c r="M449" t="str">
        <f t="shared" si="35"/>
        <v/>
      </c>
      <c r="N449" t="str">
        <f t="shared" si="36"/>
        <v/>
      </c>
    </row>
    <row r="450" spans="1:14" x14ac:dyDescent="0.25">
      <c r="A450" s="4" t="s">
        <v>495</v>
      </c>
      <c r="B450" s="1"/>
      <c r="C450" s="5" t="s">
        <v>5</v>
      </c>
      <c r="D450" s="13" t="s">
        <v>787</v>
      </c>
      <c r="E450" s="30">
        <v>9</v>
      </c>
      <c r="F450" s="46"/>
      <c r="G450" s="20">
        <f t="shared" si="33"/>
        <v>1</v>
      </c>
      <c r="H450" s="18"/>
      <c r="I450" s="19">
        <f t="shared" si="34"/>
        <v>1</v>
      </c>
      <c r="J450" s="19"/>
      <c r="K450" s="20"/>
      <c r="L450" s="19"/>
      <c r="M450" t="str">
        <f t="shared" si="35"/>
        <v/>
      </c>
      <c r="N450" t="str">
        <f t="shared" si="36"/>
        <v/>
      </c>
    </row>
    <row r="451" spans="1:14" x14ac:dyDescent="0.25">
      <c r="A451" s="4" t="s">
        <v>405</v>
      </c>
      <c r="B451" s="1"/>
      <c r="C451" s="5" t="s">
        <v>5</v>
      </c>
      <c r="D451" s="13"/>
      <c r="E451" s="30">
        <v>10</v>
      </c>
      <c r="F451" s="43"/>
      <c r="G451" s="20">
        <f t="shared" si="33"/>
        <v>1</v>
      </c>
      <c r="H451" s="18"/>
      <c r="I451" s="19">
        <f t="shared" si="34"/>
        <v>1</v>
      </c>
      <c r="J451" s="19"/>
      <c r="K451" s="20"/>
      <c r="L451" s="19"/>
      <c r="M451" t="str">
        <f t="shared" si="35"/>
        <v/>
      </c>
      <c r="N451" t="str">
        <f t="shared" si="36"/>
        <v/>
      </c>
    </row>
    <row r="452" spans="1:14" x14ac:dyDescent="0.25">
      <c r="A452" s="4" t="s">
        <v>264</v>
      </c>
      <c r="B452" s="1"/>
      <c r="C452" s="5" t="s">
        <v>5</v>
      </c>
      <c r="D452" s="13"/>
      <c r="E452" s="30"/>
      <c r="F452" s="43"/>
      <c r="G452" s="20">
        <f t="shared" si="33"/>
        <v>1</v>
      </c>
      <c r="H452" s="18"/>
      <c r="I452" s="19">
        <f t="shared" si="34"/>
        <v>1</v>
      </c>
      <c r="J452" s="19"/>
      <c r="K452" s="20"/>
      <c r="L452" s="19"/>
      <c r="M452" t="str">
        <f t="shared" si="35"/>
        <v/>
      </c>
      <c r="N452" t="str">
        <f t="shared" si="36"/>
        <v/>
      </c>
    </row>
    <row r="453" spans="1:14" x14ac:dyDescent="0.25">
      <c r="A453" s="4" t="s">
        <v>156</v>
      </c>
      <c r="B453" s="1"/>
      <c r="C453" s="5" t="s">
        <v>5</v>
      </c>
      <c r="D453" s="13" t="s">
        <v>493</v>
      </c>
      <c r="E453" s="30">
        <v>8.83</v>
      </c>
      <c r="F453" s="43"/>
      <c r="G453" s="20">
        <f t="shared" si="33"/>
        <v>1</v>
      </c>
      <c r="H453" s="18"/>
      <c r="I453" s="19">
        <f t="shared" si="34"/>
        <v>1</v>
      </c>
      <c r="J453" s="19"/>
      <c r="K453" s="20"/>
      <c r="L453" s="19"/>
      <c r="M453" t="str">
        <f t="shared" si="35"/>
        <v/>
      </c>
      <c r="N453" t="str">
        <f t="shared" si="36"/>
        <v/>
      </c>
    </row>
    <row r="454" spans="1:14" x14ac:dyDescent="0.25">
      <c r="A454" s="4" t="s">
        <v>388</v>
      </c>
      <c r="B454" s="1"/>
      <c r="C454" s="5" t="s">
        <v>5</v>
      </c>
      <c r="D454" s="13" t="s">
        <v>523</v>
      </c>
      <c r="E454" s="30">
        <v>20</v>
      </c>
      <c r="F454" s="43">
        <v>15</v>
      </c>
      <c r="G454" s="20">
        <f t="shared" si="33"/>
        <v>1</v>
      </c>
      <c r="H454" s="18"/>
      <c r="I454" s="19">
        <f t="shared" si="34"/>
        <v>1</v>
      </c>
      <c r="J454" s="19"/>
      <c r="K454" s="20"/>
      <c r="L454" s="19"/>
      <c r="M454" t="str">
        <f t="shared" si="35"/>
        <v/>
      </c>
      <c r="N454" t="str">
        <f t="shared" si="36"/>
        <v/>
      </c>
    </row>
    <row r="455" spans="1:14" x14ac:dyDescent="0.25">
      <c r="A455" s="2" t="s">
        <v>185</v>
      </c>
      <c r="B455" s="21"/>
      <c r="C455" s="3"/>
      <c r="D455" s="14"/>
      <c r="E455" s="31"/>
      <c r="F455" s="45" t="s">
        <v>757</v>
      </c>
      <c r="G455" s="20">
        <f t="shared" si="33"/>
        <v>1</v>
      </c>
      <c r="H455" s="18"/>
      <c r="I455" s="19">
        <f t="shared" si="34"/>
        <v>0</v>
      </c>
      <c r="J455" s="19"/>
      <c r="K455" s="20"/>
      <c r="L455" s="19"/>
      <c r="M455" t="str">
        <f t="shared" si="35"/>
        <v/>
      </c>
      <c r="N455" t="str">
        <f t="shared" si="36"/>
        <v/>
      </c>
    </row>
    <row r="456" spans="1:14" x14ac:dyDescent="0.25">
      <c r="A456" s="63" t="s">
        <v>469</v>
      </c>
      <c r="B456" s="64"/>
      <c r="C456" s="65" t="s">
        <v>5</v>
      </c>
      <c r="D456" s="66" t="s">
        <v>456</v>
      </c>
      <c r="E456" s="67">
        <v>8</v>
      </c>
      <c r="F456" s="68"/>
      <c r="G456" s="20">
        <f t="shared" ref="G456:G512" si="37">COUNTA(A456)</f>
        <v>1</v>
      </c>
      <c r="H456" s="18"/>
      <c r="I456" s="19">
        <f t="shared" ref="I456:I512" si="38">COUNTA(C456)</f>
        <v>1</v>
      </c>
      <c r="J456" s="19"/>
      <c r="K456" s="20"/>
      <c r="L456" s="19"/>
      <c r="M456" t="str">
        <f t="shared" si="35"/>
        <v/>
      </c>
      <c r="N456" t="str">
        <f t="shared" si="36"/>
        <v/>
      </c>
    </row>
    <row r="457" spans="1:14" x14ac:dyDescent="0.25">
      <c r="A457" s="4" t="s">
        <v>390</v>
      </c>
      <c r="B457" s="1"/>
      <c r="C457" s="5" t="s">
        <v>5</v>
      </c>
      <c r="D457" s="13"/>
      <c r="E457" s="30"/>
      <c r="F457" s="43"/>
      <c r="G457" s="20">
        <f t="shared" si="37"/>
        <v>1</v>
      </c>
      <c r="H457" s="18"/>
      <c r="I457" s="19">
        <f t="shared" si="38"/>
        <v>1</v>
      </c>
      <c r="J457" s="19"/>
      <c r="K457" s="20"/>
      <c r="L457" s="19"/>
      <c r="M457" t="str">
        <f t="shared" si="35"/>
        <v/>
      </c>
      <c r="N457" t="str">
        <f t="shared" si="36"/>
        <v/>
      </c>
    </row>
    <row r="458" spans="1:14" x14ac:dyDescent="0.25">
      <c r="A458" s="63" t="s">
        <v>157</v>
      </c>
      <c r="B458" s="64"/>
      <c r="C458" s="65" t="s">
        <v>5</v>
      </c>
      <c r="D458" s="66" t="s">
        <v>430</v>
      </c>
      <c r="E458" s="67">
        <v>14</v>
      </c>
      <c r="F458" s="68"/>
      <c r="G458" s="20">
        <f t="shared" si="37"/>
        <v>1</v>
      </c>
      <c r="H458" s="18"/>
      <c r="I458" s="19">
        <f t="shared" si="38"/>
        <v>1</v>
      </c>
      <c r="J458" s="19"/>
      <c r="K458" s="20"/>
      <c r="L458" s="19"/>
      <c r="M458" t="str">
        <f t="shared" si="35"/>
        <v/>
      </c>
      <c r="N458" t="str">
        <f t="shared" si="36"/>
        <v/>
      </c>
    </row>
    <row r="459" spans="1:14" x14ac:dyDescent="0.25">
      <c r="A459" s="38" t="s">
        <v>158</v>
      </c>
      <c r="B459" s="39"/>
      <c r="C459" s="40"/>
      <c r="D459" s="41"/>
      <c r="E459" s="42"/>
      <c r="F459" s="72" t="s">
        <v>713</v>
      </c>
      <c r="G459" s="20">
        <f t="shared" si="37"/>
        <v>1</v>
      </c>
      <c r="H459" s="18"/>
      <c r="I459" s="19">
        <f t="shared" si="38"/>
        <v>0</v>
      </c>
      <c r="J459" s="19"/>
      <c r="K459" s="20"/>
      <c r="L459" s="19"/>
      <c r="M459" t="str">
        <f t="shared" si="35"/>
        <v/>
      </c>
      <c r="N459" t="str">
        <f t="shared" si="36"/>
        <v/>
      </c>
    </row>
    <row r="460" spans="1:14" x14ac:dyDescent="0.25">
      <c r="A460" s="4" t="s">
        <v>377</v>
      </c>
      <c r="B460" s="1"/>
      <c r="C460" s="5" t="s">
        <v>5</v>
      </c>
      <c r="D460" s="13"/>
      <c r="E460" s="30"/>
      <c r="F460" s="43"/>
      <c r="G460" s="20">
        <f t="shared" si="37"/>
        <v>1</v>
      </c>
      <c r="H460" s="18"/>
      <c r="I460" s="19">
        <f t="shared" si="38"/>
        <v>1</v>
      </c>
      <c r="J460" s="19"/>
      <c r="K460" s="20"/>
      <c r="L460" s="19"/>
      <c r="M460" t="str">
        <f t="shared" si="35"/>
        <v/>
      </c>
      <c r="N460" t="str">
        <f t="shared" si="36"/>
        <v/>
      </c>
    </row>
    <row r="461" spans="1:14" x14ac:dyDescent="0.25">
      <c r="A461" s="4" t="s">
        <v>159</v>
      </c>
      <c r="B461" s="1"/>
      <c r="C461" s="5" t="s">
        <v>5</v>
      </c>
      <c r="D461" s="13"/>
      <c r="E461" s="30"/>
      <c r="F461" s="43"/>
      <c r="G461" s="20">
        <f t="shared" si="37"/>
        <v>1</v>
      </c>
      <c r="H461" s="18"/>
      <c r="I461" s="19">
        <f t="shared" si="38"/>
        <v>1</v>
      </c>
      <c r="J461" s="19"/>
      <c r="K461" s="20"/>
      <c r="L461" s="19"/>
      <c r="M461" t="str">
        <f t="shared" si="35"/>
        <v/>
      </c>
      <c r="N461" t="str">
        <f t="shared" si="36"/>
        <v/>
      </c>
    </row>
    <row r="462" spans="1:14" x14ac:dyDescent="0.25">
      <c r="A462" s="2" t="s">
        <v>505</v>
      </c>
      <c r="B462" s="21"/>
      <c r="C462" s="3"/>
      <c r="D462" s="14"/>
      <c r="E462" s="31"/>
      <c r="F462" s="45" t="s">
        <v>760</v>
      </c>
      <c r="G462" s="20">
        <f t="shared" si="37"/>
        <v>1</v>
      </c>
      <c r="H462" s="18"/>
      <c r="I462" s="19">
        <f t="shared" si="38"/>
        <v>0</v>
      </c>
      <c r="J462" s="19"/>
      <c r="K462" s="20"/>
      <c r="L462" s="19"/>
      <c r="M462" t="str">
        <f t="shared" si="35"/>
        <v/>
      </c>
      <c r="N462" t="str">
        <f t="shared" si="36"/>
        <v/>
      </c>
    </row>
    <row r="463" spans="1:14" x14ac:dyDescent="0.25">
      <c r="A463" s="2" t="s">
        <v>160</v>
      </c>
      <c r="B463" s="21"/>
      <c r="C463" s="3"/>
      <c r="D463" s="14"/>
      <c r="E463" s="31"/>
      <c r="F463" s="45" t="s">
        <v>761</v>
      </c>
      <c r="G463" s="20">
        <f t="shared" si="37"/>
        <v>1</v>
      </c>
      <c r="H463" s="18"/>
      <c r="I463" s="19">
        <f t="shared" si="38"/>
        <v>0</v>
      </c>
      <c r="J463" s="19"/>
      <c r="K463" s="20"/>
      <c r="L463" s="19"/>
      <c r="M463" t="str">
        <f t="shared" si="35"/>
        <v/>
      </c>
      <c r="N463" t="str">
        <f t="shared" si="36"/>
        <v/>
      </c>
    </row>
    <row r="464" spans="1:14" x14ac:dyDescent="0.25">
      <c r="A464" s="2" t="s">
        <v>500</v>
      </c>
      <c r="B464" s="21"/>
      <c r="C464" s="3"/>
      <c r="D464" s="14" t="s">
        <v>762</v>
      </c>
      <c r="E464" s="31"/>
      <c r="F464" s="45" t="s">
        <v>763</v>
      </c>
      <c r="G464" s="20">
        <f t="shared" si="37"/>
        <v>1</v>
      </c>
      <c r="H464" s="18"/>
      <c r="I464" s="19">
        <f t="shared" si="38"/>
        <v>0</v>
      </c>
      <c r="J464" s="19"/>
      <c r="K464" s="20"/>
      <c r="L464" s="19"/>
      <c r="M464" t="str">
        <f t="shared" si="35"/>
        <v/>
      </c>
      <c r="N464" t="str">
        <f t="shared" si="36"/>
        <v/>
      </c>
    </row>
    <row r="465" spans="1:14" x14ac:dyDescent="0.25">
      <c r="A465" s="4" t="s">
        <v>420</v>
      </c>
      <c r="B465" s="1"/>
      <c r="C465" s="5" t="s">
        <v>5</v>
      </c>
      <c r="D465" s="13"/>
      <c r="E465" s="30"/>
      <c r="F465" s="43"/>
      <c r="G465" s="20">
        <f t="shared" si="37"/>
        <v>1</v>
      </c>
      <c r="H465" s="18"/>
      <c r="I465" s="19">
        <f t="shared" si="38"/>
        <v>1</v>
      </c>
      <c r="J465" s="19"/>
      <c r="K465" s="20"/>
      <c r="L465" s="19"/>
    </row>
    <row r="466" spans="1:14" x14ac:dyDescent="0.25">
      <c r="A466" s="4" t="s">
        <v>186</v>
      </c>
      <c r="B466" s="1"/>
      <c r="C466" s="5" t="s">
        <v>5</v>
      </c>
      <c r="D466" s="13"/>
      <c r="E466" s="30"/>
      <c r="F466" s="43"/>
      <c r="G466" s="20">
        <f t="shared" si="37"/>
        <v>1</v>
      </c>
      <c r="H466" s="18"/>
      <c r="I466" s="19">
        <f t="shared" si="38"/>
        <v>1</v>
      </c>
      <c r="J466" s="19"/>
      <c r="K466" s="20"/>
      <c r="L466" s="19"/>
      <c r="M466" t="str">
        <f t="shared" si="35"/>
        <v/>
      </c>
      <c r="N466" t="str">
        <f t="shared" si="36"/>
        <v/>
      </c>
    </row>
    <row r="467" spans="1:14" x14ac:dyDescent="0.25">
      <c r="A467" s="2" t="s">
        <v>335</v>
      </c>
      <c r="B467" s="21"/>
      <c r="C467" s="3"/>
      <c r="D467" s="14"/>
      <c r="E467" s="31"/>
      <c r="F467" s="45" t="s">
        <v>764</v>
      </c>
      <c r="G467" s="20">
        <f t="shared" si="37"/>
        <v>1</v>
      </c>
      <c r="H467" s="18"/>
      <c r="I467" s="19">
        <f t="shared" si="38"/>
        <v>0</v>
      </c>
      <c r="J467" s="19"/>
      <c r="K467" s="20"/>
      <c r="L467" s="19"/>
      <c r="M467" t="str">
        <f t="shared" si="35"/>
        <v/>
      </c>
      <c r="N467" t="str">
        <f t="shared" si="36"/>
        <v/>
      </c>
    </row>
    <row r="468" spans="1:14" x14ac:dyDescent="0.25">
      <c r="A468" s="4" t="s">
        <v>472</v>
      </c>
      <c r="B468" s="1"/>
      <c r="C468" s="5" t="s">
        <v>5</v>
      </c>
      <c r="D468" s="13" t="s">
        <v>430</v>
      </c>
      <c r="E468" s="30"/>
      <c r="F468" s="43"/>
      <c r="G468" s="20">
        <f t="shared" si="37"/>
        <v>1</v>
      </c>
      <c r="H468" s="18"/>
      <c r="I468" s="19">
        <f t="shared" si="38"/>
        <v>1</v>
      </c>
      <c r="J468" s="19"/>
      <c r="K468" s="20"/>
      <c r="L468" s="19"/>
      <c r="M468" t="str">
        <f t="shared" si="35"/>
        <v/>
      </c>
      <c r="N468" t="str">
        <f t="shared" si="36"/>
        <v/>
      </c>
    </row>
    <row r="469" spans="1:14" x14ac:dyDescent="0.25">
      <c r="A469" s="4" t="s">
        <v>161</v>
      </c>
      <c r="B469" s="1"/>
      <c r="C469" s="5" t="s">
        <v>5</v>
      </c>
      <c r="D469" s="13"/>
      <c r="E469" s="30"/>
      <c r="F469" s="43"/>
      <c r="G469" s="20">
        <f t="shared" si="37"/>
        <v>1</v>
      </c>
      <c r="H469" s="18"/>
      <c r="I469" s="19">
        <f t="shared" si="38"/>
        <v>1</v>
      </c>
      <c r="J469" s="19"/>
      <c r="K469" s="20"/>
      <c r="L469" s="19"/>
      <c r="M469" t="str">
        <f t="shared" si="35"/>
        <v/>
      </c>
      <c r="N469" t="str">
        <f t="shared" si="36"/>
        <v/>
      </c>
    </row>
    <row r="470" spans="1:14" x14ac:dyDescent="0.25">
      <c r="A470" s="2" t="s">
        <v>486</v>
      </c>
      <c r="B470" s="21"/>
      <c r="C470" s="3"/>
      <c r="D470" s="14" t="s">
        <v>766</v>
      </c>
      <c r="E470" s="31"/>
      <c r="F470" s="45" t="s">
        <v>765</v>
      </c>
      <c r="G470" s="20">
        <f t="shared" si="37"/>
        <v>1</v>
      </c>
      <c r="H470" s="18"/>
      <c r="I470" s="19">
        <f t="shared" si="38"/>
        <v>0</v>
      </c>
      <c r="J470" s="19"/>
      <c r="K470" s="20"/>
      <c r="L470" s="19"/>
      <c r="M470" t="str">
        <f t="shared" si="35"/>
        <v/>
      </c>
      <c r="N470" t="str">
        <f t="shared" si="36"/>
        <v/>
      </c>
    </row>
    <row r="471" spans="1:14" x14ac:dyDescent="0.25">
      <c r="A471" s="4" t="s">
        <v>18</v>
      </c>
      <c r="B471" s="1"/>
      <c r="C471" s="5" t="s">
        <v>5</v>
      </c>
      <c r="D471" s="13" t="s">
        <v>511</v>
      </c>
      <c r="E471" s="30">
        <v>28</v>
      </c>
      <c r="F471" s="43"/>
      <c r="G471" s="20">
        <f t="shared" si="37"/>
        <v>1</v>
      </c>
      <c r="H471" s="18"/>
      <c r="I471" s="19">
        <f t="shared" si="38"/>
        <v>1</v>
      </c>
      <c r="J471" s="19"/>
      <c r="K471" s="20"/>
      <c r="L471" s="19"/>
      <c r="M471" t="str">
        <f t="shared" si="35"/>
        <v/>
      </c>
      <c r="N471" t="str">
        <f t="shared" si="36"/>
        <v/>
      </c>
    </row>
    <row r="472" spans="1:14" x14ac:dyDescent="0.25">
      <c r="A472" s="4" t="s">
        <v>443</v>
      </c>
      <c r="B472" s="1"/>
      <c r="C472" s="5" t="s">
        <v>5</v>
      </c>
      <c r="D472" s="13"/>
      <c r="E472" s="30"/>
      <c r="F472" s="46"/>
      <c r="G472" s="20">
        <f t="shared" si="37"/>
        <v>1</v>
      </c>
      <c r="H472" s="18"/>
      <c r="I472" s="19">
        <f t="shared" si="38"/>
        <v>1</v>
      </c>
      <c r="J472" s="19"/>
      <c r="K472" s="20"/>
      <c r="L472" s="19"/>
      <c r="M472" t="str">
        <f t="shared" si="35"/>
        <v/>
      </c>
      <c r="N472" t="str">
        <f t="shared" si="36"/>
        <v/>
      </c>
    </row>
    <row r="473" spans="1:14" x14ac:dyDescent="0.25">
      <c r="A473" s="4" t="s">
        <v>440</v>
      </c>
      <c r="B473" s="1"/>
      <c r="C473" s="5" t="s">
        <v>5</v>
      </c>
      <c r="D473" s="13" t="s">
        <v>430</v>
      </c>
      <c r="E473" s="30"/>
      <c r="F473" s="43"/>
      <c r="G473" s="20">
        <f t="shared" si="37"/>
        <v>1</v>
      </c>
      <c r="H473" s="18"/>
      <c r="I473" s="19">
        <f t="shared" si="38"/>
        <v>1</v>
      </c>
      <c r="J473" s="19"/>
      <c r="K473" s="20"/>
      <c r="L473" s="19"/>
      <c r="M473" t="str">
        <f t="shared" si="35"/>
        <v/>
      </c>
      <c r="N473" t="str">
        <f t="shared" si="36"/>
        <v/>
      </c>
    </row>
    <row r="474" spans="1:14" x14ac:dyDescent="0.25">
      <c r="A474" s="2" t="s">
        <v>319</v>
      </c>
      <c r="B474" s="21"/>
      <c r="C474" s="3"/>
      <c r="D474" s="14"/>
      <c r="E474" s="31"/>
      <c r="F474" s="45" t="s">
        <v>767</v>
      </c>
      <c r="G474" s="20">
        <f t="shared" si="37"/>
        <v>1</v>
      </c>
      <c r="H474" s="18"/>
      <c r="I474" s="19">
        <f t="shared" si="38"/>
        <v>0</v>
      </c>
      <c r="J474" s="19"/>
      <c r="K474" s="20"/>
      <c r="L474" s="19"/>
      <c r="M474" t="str">
        <f t="shared" ref="M474:M512" si="39">IF(B474=1,E474,"")</f>
        <v/>
      </c>
      <c r="N474" t="str">
        <f t="shared" ref="N474:N512" si="40">IF(B474=2,E474,"")</f>
        <v/>
      </c>
    </row>
    <row r="475" spans="1:14" x14ac:dyDescent="0.25">
      <c r="A475" s="2" t="s">
        <v>768</v>
      </c>
      <c r="B475" s="21"/>
      <c r="C475" s="3"/>
      <c r="D475" s="14"/>
      <c r="E475" s="31"/>
      <c r="F475" s="45" t="s">
        <v>769</v>
      </c>
      <c r="G475" s="20">
        <f t="shared" si="37"/>
        <v>1</v>
      </c>
      <c r="H475" s="18"/>
      <c r="I475" s="19">
        <f t="shared" si="38"/>
        <v>0</v>
      </c>
      <c r="J475" s="19"/>
      <c r="K475" s="20"/>
      <c r="L475" s="19"/>
      <c r="M475" t="str">
        <f t="shared" si="39"/>
        <v/>
      </c>
      <c r="N475" t="str">
        <f t="shared" si="40"/>
        <v/>
      </c>
    </row>
    <row r="476" spans="1:14" x14ac:dyDescent="0.25">
      <c r="A476" s="4" t="s">
        <v>261</v>
      </c>
      <c r="B476" s="1"/>
      <c r="C476" s="5" t="s">
        <v>5</v>
      </c>
      <c r="D476" s="13"/>
      <c r="E476" s="30"/>
      <c r="F476" s="43"/>
      <c r="G476" s="20">
        <f t="shared" si="37"/>
        <v>1</v>
      </c>
      <c r="H476" s="18"/>
      <c r="I476" s="19">
        <f t="shared" si="38"/>
        <v>1</v>
      </c>
      <c r="J476" s="19"/>
      <c r="K476" s="20"/>
      <c r="L476" s="19"/>
      <c r="M476" t="str">
        <f t="shared" si="39"/>
        <v/>
      </c>
      <c r="N476" t="str">
        <f t="shared" si="40"/>
        <v/>
      </c>
    </row>
    <row r="477" spans="1:14" x14ac:dyDescent="0.25">
      <c r="A477" s="4" t="s">
        <v>214</v>
      </c>
      <c r="B477" s="1"/>
      <c r="C477" s="5" t="s">
        <v>5</v>
      </c>
      <c r="D477" s="13"/>
      <c r="E477" s="30"/>
      <c r="F477" s="43"/>
      <c r="G477" s="20">
        <f t="shared" si="37"/>
        <v>1</v>
      </c>
      <c r="H477" s="18"/>
      <c r="I477" s="19">
        <f t="shared" si="38"/>
        <v>1</v>
      </c>
      <c r="J477" s="19"/>
      <c r="K477" s="20"/>
      <c r="L477" s="19"/>
      <c r="M477" t="str">
        <f t="shared" si="39"/>
        <v/>
      </c>
      <c r="N477" t="str">
        <f t="shared" si="40"/>
        <v/>
      </c>
    </row>
    <row r="478" spans="1:14" x14ac:dyDescent="0.25">
      <c r="A478" s="4" t="s">
        <v>506</v>
      </c>
      <c r="B478" s="1"/>
      <c r="C478" s="5" t="s">
        <v>5</v>
      </c>
      <c r="D478" s="13" t="s">
        <v>493</v>
      </c>
      <c r="E478" s="30">
        <v>13.43</v>
      </c>
      <c r="F478" s="43"/>
      <c r="G478" s="20">
        <f t="shared" si="37"/>
        <v>1</v>
      </c>
      <c r="H478" s="18"/>
      <c r="I478" s="19">
        <f t="shared" si="38"/>
        <v>1</v>
      </c>
      <c r="J478" s="19"/>
      <c r="K478" s="20"/>
      <c r="L478" s="19"/>
      <c r="M478" t="str">
        <f t="shared" si="39"/>
        <v/>
      </c>
      <c r="N478" t="str">
        <f t="shared" si="40"/>
        <v/>
      </c>
    </row>
    <row r="479" spans="1:14" x14ac:dyDescent="0.25">
      <c r="A479" s="4" t="s">
        <v>253</v>
      </c>
      <c r="B479" s="1"/>
      <c r="C479" s="5" t="s">
        <v>5</v>
      </c>
      <c r="D479" s="13"/>
      <c r="E479" s="30"/>
      <c r="F479" s="43"/>
      <c r="G479" s="20">
        <f t="shared" si="37"/>
        <v>1</v>
      </c>
      <c r="H479" s="18"/>
      <c r="I479" s="19">
        <f t="shared" si="38"/>
        <v>1</v>
      </c>
      <c r="J479" s="19"/>
      <c r="K479" s="20"/>
      <c r="L479" s="19"/>
      <c r="M479" t="str">
        <f t="shared" si="39"/>
        <v/>
      </c>
      <c r="N479" t="str">
        <f t="shared" si="40"/>
        <v/>
      </c>
    </row>
    <row r="480" spans="1:14" x14ac:dyDescent="0.25">
      <c r="A480" s="2" t="s">
        <v>232</v>
      </c>
      <c r="B480" s="21"/>
      <c r="C480" s="3"/>
      <c r="D480" s="14"/>
      <c r="E480" s="31"/>
      <c r="F480" s="45" t="s">
        <v>770</v>
      </c>
      <c r="G480" s="20">
        <f t="shared" si="37"/>
        <v>1</v>
      </c>
      <c r="H480" s="18"/>
      <c r="I480" s="19">
        <f t="shared" si="38"/>
        <v>0</v>
      </c>
      <c r="J480" s="19"/>
      <c r="K480" s="20"/>
      <c r="L480" s="19"/>
      <c r="M480" t="str">
        <f t="shared" si="39"/>
        <v/>
      </c>
      <c r="N480" t="str">
        <f t="shared" si="40"/>
        <v/>
      </c>
    </row>
    <row r="481" spans="1:14" x14ac:dyDescent="0.25">
      <c r="A481" s="4" t="s">
        <v>479</v>
      </c>
      <c r="B481" s="1"/>
      <c r="C481" s="5" t="s">
        <v>5</v>
      </c>
      <c r="D481" s="13" t="s">
        <v>430</v>
      </c>
      <c r="E481" s="30">
        <v>29</v>
      </c>
      <c r="F481" s="43"/>
      <c r="G481" s="20">
        <f t="shared" si="37"/>
        <v>1</v>
      </c>
      <c r="H481" s="18"/>
      <c r="I481" s="19">
        <f t="shared" si="38"/>
        <v>1</v>
      </c>
      <c r="J481" s="19"/>
      <c r="K481" s="20"/>
      <c r="L481" s="19"/>
    </row>
    <row r="482" spans="1:14" x14ac:dyDescent="0.25">
      <c r="A482" s="4" t="s">
        <v>254</v>
      </c>
      <c r="B482" s="1"/>
      <c r="C482" s="5" t="s">
        <v>5</v>
      </c>
      <c r="D482" s="13" t="s">
        <v>771</v>
      </c>
      <c r="E482" s="30"/>
      <c r="F482" s="43"/>
      <c r="G482" s="20">
        <f t="shared" si="37"/>
        <v>1</v>
      </c>
      <c r="H482" s="18"/>
      <c r="I482" s="19">
        <f t="shared" si="38"/>
        <v>1</v>
      </c>
      <c r="J482" s="19"/>
      <c r="K482" s="20"/>
      <c r="L482" s="19"/>
      <c r="M482" t="str">
        <f t="shared" si="39"/>
        <v/>
      </c>
      <c r="N482" t="str">
        <f t="shared" si="40"/>
        <v/>
      </c>
    </row>
    <row r="483" spans="1:14" x14ac:dyDescent="0.25">
      <c r="A483" s="4" t="s">
        <v>528</v>
      </c>
      <c r="B483" s="1"/>
      <c r="C483" s="5" t="s">
        <v>5</v>
      </c>
      <c r="D483" s="13" t="s">
        <v>523</v>
      </c>
      <c r="E483" s="30">
        <v>15</v>
      </c>
      <c r="F483" s="43">
        <v>40</v>
      </c>
      <c r="G483" s="20">
        <f t="shared" si="37"/>
        <v>1</v>
      </c>
      <c r="H483" s="18"/>
      <c r="I483" s="19">
        <f t="shared" si="38"/>
        <v>1</v>
      </c>
      <c r="J483" s="19"/>
      <c r="K483" s="20"/>
      <c r="L483" s="19"/>
      <c r="M483" t="str">
        <f t="shared" si="39"/>
        <v/>
      </c>
      <c r="N483" t="str">
        <f t="shared" si="40"/>
        <v/>
      </c>
    </row>
    <row r="484" spans="1:14" x14ac:dyDescent="0.25">
      <c r="A484" s="2" t="s">
        <v>326</v>
      </c>
      <c r="B484" s="21"/>
      <c r="C484" s="3"/>
      <c r="D484" s="14" t="s">
        <v>773</v>
      </c>
      <c r="E484" s="31"/>
      <c r="F484" s="45" t="s">
        <v>772</v>
      </c>
      <c r="G484" s="20">
        <f t="shared" si="37"/>
        <v>1</v>
      </c>
      <c r="H484" s="18"/>
      <c r="I484" s="19">
        <f t="shared" si="38"/>
        <v>0</v>
      </c>
      <c r="J484" s="19"/>
      <c r="K484" s="20"/>
      <c r="L484" s="19"/>
      <c r="M484" t="str">
        <f t="shared" si="39"/>
        <v/>
      </c>
      <c r="N484" t="str">
        <f t="shared" si="40"/>
        <v/>
      </c>
    </row>
    <row r="485" spans="1:14" x14ac:dyDescent="0.25">
      <c r="A485" s="2" t="s">
        <v>162</v>
      </c>
      <c r="B485" s="21"/>
      <c r="C485" s="3"/>
      <c r="D485" s="14"/>
      <c r="E485" s="31"/>
      <c r="F485" s="45" t="s">
        <v>774</v>
      </c>
      <c r="G485" s="20">
        <f t="shared" si="37"/>
        <v>1</v>
      </c>
      <c r="H485" s="18"/>
      <c r="I485" s="19">
        <f t="shared" si="38"/>
        <v>0</v>
      </c>
      <c r="J485" s="19"/>
      <c r="K485" s="20"/>
      <c r="L485" s="19"/>
      <c r="M485" t="str">
        <f t="shared" si="39"/>
        <v/>
      </c>
      <c r="N485" t="str">
        <f t="shared" si="40"/>
        <v/>
      </c>
    </row>
    <row r="486" spans="1:14" x14ac:dyDescent="0.25">
      <c r="A486" s="4" t="s">
        <v>163</v>
      </c>
      <c r="B486" s="1"/>
      <c r="C486" s="5" t="s">
        <v>5</v>
      </c>
      <c r="D486" s="13"/>
      <c r="E486" s="30"/>
      <c r="F486" s="43"/>
      <c r="G486" s="20">
        <f t="shared" si="37"/>
        <v>1</v>
      </c>
      <c r="H486" s="18"/>
      <c r="I486" s="19">
        <f t="shared" si="38"/>
        <v>1</v>
      </c>
      <c r="J486" s="19"/>
      <c r="K486" s="20"/>
      <c r="L486" s="19"/>
    </row>
    <row r="487" spans="1:14" x14ac:dyDescent="0.25">
      <c r="A487" s="4" t="s">
        <v>231</v>
      </c>
      <c r="B487" s="1"/>
      <c r="C487" s="5" t="s">
        <v>5</v>
      </c>
      <c r="D487" s="13"/>
      <c r="E487" s="30"/>
      <c r="F487" s="43"/>
      <c r="G487" s="20">
        <f t="shared" si="37"/>
        <v>1</v>
      </c>
      <c r="H487" s="18"/>
      <c r="I487" s="19">
        <f t="shared" si="38"/>
        <v>1</v>
      </c>
      <c r="J487" s="19"/>
      <c r="K487" s="20"/>
      <c r="L487" s="19"/>
      <c r="M487" t="str">
        <f t="shared" si="39"/>
        <v/>
      </c>
      <c r="N487" t="str">
        <f t="shared" si="40"/>
        <v/>
      </c>
    </row>
    <row r="488" spans="1:14" x14ac:dyDescent="0.25">
      <c r="A488" s="4" t="s">
        <v>164</v>
      </c>
      <c r="B488" s="1"/>
      <c r="C488" s="5" t="s">
        <v>5</v>
      </c>
      <c r="D488" s="13"/>
      <c r="E488" s="30"/>
      <c r="F488" s="46"/>
      <c r="G488" s="20">
        <f t="shared" si="37"/>
        <v>1</v>
      </c>
      <c r="H488" s="18"/>
      <c r="I488" s="19">
        <f t="shared" si="38"/>
        <v>1</v>
      </c>
      <c r="J488" s="19"/>
      <c r="K488" s="20"/>
      <c r="L488" s="19"/>
      <c r="M488" t="str">
        <f t="shared" si="39"/>
        <v/>
      </c>
      <c r="N488" t="str">
        <f t="shared" si="40"/>
        <v/>
      </c>
    </row>
    <row r="489" spans="1:14" x14ac:dyDescent="0.25">
      <c r="A489" s="4" t="s">
        <v>165</v>
      </c>
      <c r="B489" s="1"/>
      <c r="C489" s="5" t="s">
        <v>5</v>
      </c>
      <c r="D489" s="13" t="s">
        <v>422</v>
      </c>
      <c r="E489" s="30"/>
      <c r="F489" s="43"/>
      <c r="G489" s="20">
        <f t="shared" si="37"/>
        <v>1</v>
      </c>
      <c r="H489" s="18"/>
      <c r="I489" s="19">
        <f t="shared" si="38"/>
        <v>1</v>
      </c>
      <c r="J489" s="19"/>
      <c r="K489" s="20"/>
      <c r="L489" s="19"/>
      <c r="M489" t="str">
        <f t="shared" si="39"/>
        <v/>
      </c>
      <c r="N489" t="str">
        <f t="shared" si="40"/>
        <v/>
      </c>
    </row>
    <row r="490" spans="1:14" x14ac:dyDescent="0.25">
      <c r="A490" s="4" t="s">
        <v>166</v>
      </c>
      <c r="B490" s="1"/>
      <c r="C490" s="5" t="s">
        <v>5</v>
      </c>
      <c r="D490" s="13" t="s">
        <v>422</v>
      </c>
      <c r="E490" s="30"/>
      <c r="F490" s="43"/>
      <c r="G490" s="20">
        <f t="shared" si="37"/>
        <v>1</v>
      </c>
      <c r="H490" s="18"/>
      <c r="I490" s="19">
        <f t="shared" si="38"/>
        <v>1</v>
      </c>
      <c r="J490" s="19"/>
      <c r="K490" s="20"/>
      <c r="L490" s="19"/>
      <c r="M490" t="str">
        <f t="shared" si="39"/>
        <v/>
      </c>
      <c r="N490" t="str">
        <f t="shared" si="40"/>
        <v/>
      </c>
    </row>
    <row r="491" spans="1:14" x14ac:dyDescent="0.25">
      <c r="A491" s="2" t="s">
        <v>351</v>
      </c>
      <c r="B491" s="21"/>
      <c r="C491" s="3"/>
      <c r="D491" s="14"/>
      <c r="E491" s="31"/>
      <c r="F491" s="45" t="s">
        <v>775</v>
      </c>
      <c r="G491" s="20">
        <f t="shared" si="37"/>
        <v>1</v>
      </c>
      <c r="H491" s="18"/>
      <c r="I491" s="19">
        <f t="shared" si="38"/>
        <v>0</v>
      </c>
      <c r="J491" s="19"/>
      <c r="K491" s="20"/>
      <c r="L491" s="19"/>
      <c r="M491" t="str">
        <f t="shared" si="39"/>
        <v/>
      </c>
      <c r="N491" t="str">
        <f t="shared" si="40"/>
        <v/>
      </c>
    </row>
    <row r="492" spans="1:14" x14ac:dyDescent="0.25">
      <c r="A492" s="4" t="s">
        <v>311</v>
      </c>
      <c r="B492" s="1"/>
      <c r="C492" s="5" t="s">
        <v>5</v>
      </c>
      <c r="D492" s="13"/>
      <c r="E492" s="30"/>
      <c r="F492" s="43"/>
      <c r="G492" s="20">
        <f t="shared" si="37"/>
        <v>1</v>
      </c>
      <c r="H492" s="18"/>
      <c r="I492" s="19">
        <f t="shared" si="38"/>
        <v>1</v>
      </c>
      <c r="J492" s="19"/>
      <c r="K492" s="20"/>
      <c r="L492" s="19"/>
      <c r="M492" t="str">
        <f t="shared" si="39"/>
        <v/>
      </c>
      <c r="N492" t="str">
        <f t="shared" si="40"/>
        <v/>
      </c>
    </row>
    <row r="493" spans="1:14" x14ac:dyDescent="0.25">
      <c r="A493" s="4" t="s">
        <v>371</v>
      </c>
      <c r="B493" s="1"/>
      <c r="C493" s="5" t="s">
        <v>5</v>
      </c>
      <c r="D493" s="13"/>
      <c r="E493" s="30"/>
      <c r="F493" s="43"/>
      <c r="G493" s="20">
        <f t="shared" si="37"/>
        <v>1</v>
      </c>
      <c r="H493" s="18"/>
      <c r="I493" s="19">
        <f t="shared" si="38"/>
        <v>1</v>
      </c>
      <c r="J493" s="19"/>
      <c r="K493" s="20"/>
      <c r="L493" s="19"/>
      <c r="M493" t="str">
        <f t="shared" si="39"/>
        <v/>
      </c>
      <c r="N493" t="str">
        <f t="shared" si="40"/>
        <v/>
      </c>
    </row>
    <row r="494" spans="1:14" x14ac:dyDescent="0.25">
      <c r="A494" s="4" t="s">
        <v>7</v>
      </c>
      <c r="B494" s="1"/>
      <c r="C494" s="5" t="s">
        <v>5</v>
      </c>
      <c r="D494" s="13"/>
      <c r="E494" s="30"/>
      <c r="F494" s="43"/>
      <c r="G494" s="20">
        <f t="shared" si="37"/>
        <v>1</v>
      </c>
      <c r="H494" s="18"/>
      <c r="I494" s="19">
        <f t="shared" si="38"/>
        <v>1</v>
      </c>
      <c r="J494" s="19"/>
      <c r="K494" s="20"/>
      <c r="L494" s="19"/>
      <c r="M494" t="str">
        <f t="shared" si="39"/>
        <v/>
      </c>
      <c r="N494" t="str">
        <f t="shared" si="40"/>
        <v/>
      </c>
    </row>
    <row r="495" spans="1:14" x14ac:dyDescent="0.25">
      <c r="A495" s="4" t="s">
        <v>255</v>
      </c>
      <c r="B495" s="1"/>
      <c r="C495" s="5" t="s">
        <v>5</v>
      </c>
      <c r="D495" s="13"/>
      <c r="E495" s="30"/>
      <c r="F495" s="43"/>
      <c r="G495" s="20">
        <f t="shared" si="37"/>
        <v>1</v>
      </c>
      <c r="H495" s="18"/>
      <c r="I495" s="19">
        <f t="shared" si="38"/>
        <v>1</v>
      </c>
      <c r="J495" s="19"/>
      <c r="K495" s="20"/>
      <c r="L495" s="19"/>
      <c r="M495" t="str">
        <f t="shared" si="39"/>
        <v/>
      </c>
      <c r="N495" t="str">
        <f t="shared" si="40"/>
        <v/>
      </c>
    </row>
    <row r="496" spans="1:14" x14ac:dyDescent="0.25">
      <c r="A496" s="4" t="s">
        <v>167</v>
      </c>
      <c r="B496" s="1"/>
      <c r="C496" s="5" t="s">
        <v>5</v>
      </c>
      <c r="D496" s="13" t="s">
        <v>401</v>
      </c>
      <c r="E496" s="30"/>
      <c r="F496" s="43"/>
      <c r="G496" s="20">
        <f t="shared" si="37"/>
        <v>1</v>
      </c>
      <c r="H496" s="18"/>
      <c r="I496" s="19">
        <f t="shared" si="38"/>
        <v>1</v>
      </c>
      <c r="J496" s="19"/>
      <c r="K496" s="20"/>
      <c r="L496" s="19"/>
      <c r="M496" t="str">
        <f t="shared" si="39"/>
        <v/>
      </c>
      <c r="N496" t="str">
        <f t="shared" si="40"/>
        <v/>
      </c>
    </row>
    <row r="497" spans="1:14" x14ac:dyDescent="0.25">
      <c r="A497" s="4" t="s">
        <v>331</v>
      </c>
      <c r="B497" s="1"/>
      <c r="C497" s="5" t="s">
        <v>5</v>
      </c>
      <c r="D497" s="13" t="s">
        <v>430</v>
      </c>
      <c r="E497" s="30">
        <v>10</v>
      </c>
      <c r="F497" s="43"/>
      <c r="G497" s="20">
        <f t="shared" si="37"/>
        <v>1</v>
      </c>
      <c r="H497" s="18"/>
      <c r="I497" s="19">
        <f t="shared" si="38"/>
        <v>1</v>
      </c>
      <c r="J497" s="19"/>
      <c r="K497" s="20"/>
      <c r="L497" s="19"/>
      <c r="M497" t="str">
        <f t="shared" si="39"/>
        <v/>
      </c>
      <c r="N497" t="str">
        <f t="shared" si="40"/>
        <v/>
      </c>
    </row>
    <row r="498" spans="1:14" x14ac:dyDescent="0.25">
      <c r="A498" s="4" t="s">
        <v>301</v>
      </c>
      <c r="B498" s="1"/>
      <c r="C498" s="5" t="s">
        <v>5</v>
      </c>
      <c r="D498" s="13"/>
      <c r="E498" s="30"/>
      <c r="F498" s="43"/>
      <c r="G498" s="20">
        <f t="shared" si="37"/>
        <v>1</v>
      </c>
      <c r="H498" s="18"/>
      <c r="I498" s="19">
        <f t="shared" si="38"/>
        <v>1</v>
      </c>
      <c r="J498" s="19"/>
      <c r="K498" s="20"/>
      <c r="L498" s="19"/>
      <c r="M498" t="str">
        <f t="shared" si="39"/>
        <v/>
      </c>
      <c r="N498" t="str">
        <f t="shared" si="40"/>
        <v/>
      </c>
    </row>
    <row r="499" spans="1:14" x14ac:dyDescent="0.25">
      <c r="A499" s="2" t="s">
        <v>168</v>
      </c>
      <c r="B499" s="21"/>
      <c r="C499" s="3"/>
      <c r="D499" s="14"/>
      <c r="E499" s="31"/>
      <c r="F499" s="45" t="s">
        <v>776</v>
      </c>
      <c r="G499" s="20">
        <f t="shared" si="37"/>
        <v>1</v>
      </c>
      <c r="H499" s="18"/>
      <c r="I499" s="19">
        <f t="shared" si="38"/>
        <v>0</v>
      </c>
      <c r="J499" s="19"/>
      <c r="K499" s="20"/>
      <c r="L499" s="19"/>
      <c r="M499" t="str">
        <f t="shared" si="39"/>
        <v/>
      </c>
      <c r="N499" t="str">
        <f t="shared" si="40"/>
        <v/>
      </c>
    </row>
    <row r="500" spans="1:14" x14ac:dyDescent="0.25">
      <c r="A500" s="4" t="s">
        <v>169</v>
      </c>
      <c r="B500" s="1"/>
      <c r="C500" s="5" t="s">
        <v>5</v>
      </c>
      <c r="D500" s="13" t="s">
        <v>460</v>
      </c>
      <c r="E500" s="30">
        <v>19</v>
      </c>
      <c r="F500" s="43"/>
      <c r="G500" s="20">
        <f t="shared" si="37"/>
        <v>1</v>
      </c>
      <c r="H500" s="18"/>
      <c r="I500" s="19">
        <f t="shared" si="38"/>
        <v>1</v>
      </c>
      <c r="J500" s="19"/>
      <c r="K500" s="20"/>
      <c r="L500" s="19"/>
      <c r="M500" t="str">
        <f t="shared" si="39"/>
        <v/>
      </c>
      <c r="N500" t="str">
        <f t="shared" si="40"/>
        <v/>
      </c>
    </row>
    <row r="501" spans="1:14" x14ac:dyDescent="0.25">
      <c r="A501" s="4" t="s">
        <v>170</v>
      </c>
      <c r="B501" s="1"/>
      <c r="C501" s="5" t="s">
        <v>5</v>
      </c>
      <c r="D501" s="13"/>
      <c r="E501" s="30"/>
      <c r="F501" s="43"/>
      <c r="G501" s="20">
        <f t="shared" si="37"/>
        <v>1</v>
      </c>
      <c r="H501" s="18"/>
      <c r="I501" s="19">
        <f t="shared" si="38"/>
        <v>1</v>
      </c>
      <c r="J501" s="19"/>
      <c r="K501" s="20"/>
      <c r="L501" s="19"/>
      <c r="M501" t="str">
        <f t="shared" si="39"/>
        <v/>
      </c>
      <c r="N501" t="str">
        <f t="shared" si="40"/>
        <v/>
      </c>
    </row>
    <row r="502" spans="1:14" x14ac:dyDescent="0.25">
      <c r="A502" s="2" t="s">
        <v>24</v>
      </c>
      <c r="B502" s="21"/>
      <c r="C502" s="3"/>
      <c r="D502" s="14"/>
      <c r="E502" s="31"/>
      <c r="F502" s="45" t="s">
        <v>777</v>
      </c>
      <c r="G502" s="20">
        <f t="shared" si="37"/>
        <v>1</v>
      </c>
      <c r="H502" s="18"/>
      <c r="I502" s="19">
        <f t="shared" si="38"/>
        <v>0</v>
      </c>
      <c r="J502" s="19"/>
      <c r="K502" s="20"/>
      <c r="L502" s="19"/>
      <c r="M502" t="str">
        <f t="shared" si="39"/>
        <v/>
      </c>
      <c r="N502" t="str">
        <f t="shared" si="40"/>
        <v/>
      </c>
    </row>
    <row r="503" spans="1:14" x14ac:dyDescent="0.25">
      <c r="A503" s="4" t="s">
        <v>256</v>
      </c>
      <c r="B503" s="1"/>
      <c r="C503" s="5" t="s">
        <v>5</v>
      </c>
      <c r="D503" s="13"/>
      <c r="E503" s="30"/>
      <c r="F503" s="43"/>
      <c r="G503" s="20">
        <f t="shared" si="37"/>
        <v>1</v>
      </c>
      <c r="H503" s="18"/>
      <c r="I503" s="19">
        <f t="shared" si="38"/>
        <v>1</v>
      </c>
      <c r="J503" s="19"/>
      <c r="K503" s="20"/>
      <c r="L503" s="19"/>
      <c r="M503" t="str">
        <f t="shared" si="39"/>
        <v/>
      </c>
      <c r="N503" t="str">
        <f t="shared" si="40"/>
        <v/>
      </c>
    </row>
    <row r="504" spans="1:14" x14ac:dyDescent="0.25">
      <c r="A504" s="4" t="s">
        <v>171</v>
      </c>
      <c r="B504" s="1"/>
      <c r="C504" s="5" t="s">
        <v>5</v>
      </c>
      <c r="D504" s="13"/>
      <c r="E504" s="30"/>
      <c r="F504" s="43"/>
      <c r="G504" s="20">
        <f t="shared" si="37"/>
        <v>1</v>
      </c>
      <c r="H504" s="18"/>
      <c r="I504" s="19">
        <f t="shared" si="38"/>
        <v>1</v>
      </c>
      <c r="J504" s="19"/>
      <c r="K504" s="20"/>
      <c r="L504" s="19"/>
      <c r="M504" t="str">
        <f t="shared" si="39"/>
        <v/>
      </c>
      <c r="N504" t="str">
        <f t="shared" si="40"/>
        <v/>
      </c>
    </row>
    <row r="505" spans="1:14" x14ac:dyDescent="0.25">
      <c r="A505" s="4" t="s">
        <v>172</v>
      </c>
      <c r="B505" s="1"/>
      <c r="C505" s="5" t="s">
        <v>5</v>
      </c>
      <c r="D505" s="13" t="s">
        <v>422</v>
      </c>
      <c r="E505" s="30"/>
      <c r="F505" s="43"/>
      <c r="G505" s="20">
        <f t="shared" si="37"/>
        <v>1</v>
      </c>
      <c r="H505" s="18"/>
      <c r="I505" s="19">
        <f t="shared" si="38"/>
        <v>1</v>
      </c>
      <c r="J505" s="19"/>
      <c r="K505" s="20"/>
      <c r="L505" s="19"/>
      <c r="M505" t="str">
        <f t="shared" si="39"/>
        <v/>
      </c>
      <c r="N505" t="str">
        <f t="shared" si="40"/>
        <v/>
      </c>
    </row>
    <row r="506" spans="1:14" x14ac:dyDescent="0.25">
      <c r="A506" s="2" t="s">
        <v>483</v>
      </c>
      <c r="B506" s="21"/>
      <c r="C506" s="3"/>
      <c r="D506" s="14"/>
      <c r="E506" s="31"/>
      <c r="F506" s="45" t="s">
        <v>778</v>
      </c>
      <c r="G506" s="20">
        <f t="shared" si="37"/>
        <v>1</v>
      </c>
      <c r="H506" s="18"/>
      <c r="I506" s="19">
        <f t="shared" si="38"/>
        <v>0</v>
      </c>
      <c r="J506" s="19"/>
      <c r="K506" s="20"/>
      <c r="L506" s="19"/>
      <c r="M506" t="str">
        <f t="shared" si="39"/>
        <v/>
      </c>
      <c r="N506" t="str">
        <f t="shared" si="40"/>
        <v/>
      </c>
    </row>
    <row r="507" spans="1:14" x14ac:dyDescent="0.25">
      <c r="A507" s="2" t="s">
        <v>274</v>
      </c>
      <c r="B507" s="21"/>
      <c r="C507" s="3"/>
      <c r="D507" s="14"/>
      <c r="E507" s="31"/>
      <c r="F507" s="45" t="s">
        <v>779</v>
      </c>
      <c r="G507" s="20">
        <f t="shared" si="37"/>
        <v>1</v>
      </c>
      <c r="H507" s="18"/>
      <c r="I507" s="19">
        <f t="shared" si="38"/>
        <v>0</v>
      </c>
      <c r="J507" s="19"/>
      <c r="K507" s="20"/>
      <c r="L507" s="19"/>
      <c r="M507" t="str">
        <f t="shared" si="39"/>
        <v/>
      </c>
      <c r="N507" t="str">
        <f t="shared" si="40"/>
        <v/>
      </c>
    </row>
    <row r="508" spans="1:14" x14ac:dyDescent="0.25">
      <c r="A508" s="2" t="s">
        <v>173</v>
      </c>
      <c r="B508" s="21"/>
      <c r="C508" s="3"/>
      <c r="D508" s="14" t="s">
        <v>781</v>
      </c>
      <c r="E508" s="31"/>
      <c r="F508" s="45" t="s">
        <v>780</v>
      </c>
      <c r="G508" s="20">
        <f t="shared" si="37"/>
        <v>1</v>
      </c>
      <c r="H508" s="18"/>
      <c r="I508" s="19">
        <f t="shared" si="38"/>
        <v>0</v>
      </c>
      <c r="J508" s="19"/>
      <c r="K508" s="20"/>
      <c r="L508" s="19"/>
      <c r="M508" t="str">
        <f t="shared" si="39"/>
        <v/>
      </c>
      <c r="N508" t="str">
        <f t="shared" si="40"/>
        <v/>
      </c>
    </row>
    <row r="509" spans="1:14" x14ac:dyDescent="0.25">
      <c r="A509" s="34"/>
      <c r="B509" s="25"/>
      <c r="C509" s="35"/>
      <c r="D509" s="36"/>
      <c r="E509" s="37"/>
      <c r="F509" s="44"/>
      <c r="G509" s="20">
        <f t="shared" si="37"/>
        <v>0</v>
      </c>
      <c r="H509" s="18"/>
      <c r="I509" s="19">
        <f t="shared" si="38"/>
        <v>0</v>
      </c>
      <c r="J509" s="19"/>
      <c r="K509" s="20"/>
      <c r="L509" s="19"/>
      <c r="M509" t="str">
        <f t="shared" si="39"/>
        <v/>
      </c>
      <c r="N509" t="str">
        <f t="shared" si="40"/>
        <v/>
      </c>
    </row>
    <row r="510" spans="1:14" x14ac:dyDescent="0.25">
      <c r="A510" s="34"/>
      <c r="B510" s="25"/>
      <c r="C510" s="35"/>
      <c r="D510" s="36"/>
      <c r="E510" s="37"/>
      <c r="F510" s="44"/>
      <c r="G510" s="20">
        <f t="shared" si="37"/>
        <v>0</v>
      </c>
      <c r="H510" s="18"/>
      <c r="I510" s="19">
        <f t="shared" si="38"/>
        <v>0</v>
      </c>
      <c r="J510" s="19"/>
      <c r="K510" s="20"/>
      <c r="L510" s="19"/>
      <c r="M510" t="str">
        <f t="shared" si="39"/>
        <v/>
      </c>
      <c r="N510" t="str">
        <f t="shared" si="40"/>
        <v/>
      </c>
    </row>
    <row r="511" spans="1:14" x14ac:dyDescent="0.25">
      <c r="A511" s="34"/>
      <c r="B511" s="25"/>
      <c r="C511" s="35"/>
      <c r="D511" s="36"/>
      <c r="E511" s="37"/>
      <c r="F511" s="44"/>
      <c r="G511" s="20">
        <f t="shared" si="37"/>
        <v>0</v>
      </c>
      <c r="H511" s="18"/>
      <c r="I511" s="19">
        <f t="shared" si="38"/>
        <v>0</v>
      </c>
      <c r="J511" s="19"/>
      <c r="K511" s="20"/>
      <c r="L511" s="19"/>
      <c r="M511" t="str">
        <f t="shared" si="39"/>
        <v/>
      </c>
      <c r="N511" t="str">
        <f t="shared" si="40"/>
        <v/>
      </c>
    </row>
    <row r="512" spans="1:14" x14ac:dyDescent="0.25">
      <c r="A512" s="34"/>
      <c r="B512" s="25"/>
      <c r="C512" s="35"/>
      <c r="D512" s="36"/>
      <c r="E512" s="37"/>
      <c r="F512" s="44"/>
      <c r="G512" s="20">
        <f t="shared" si="37"/>
        <v>0</v>
      </c>
      <c r="H512" s="18"/>
      <c r="I512" s="19">
        <f t="shared" si="38"/>
        <v>0</v>
      </c>
      <c r="J512" s="19"/>
      <c r="K512" s="20"/>
      <c r="L512" s="19"/>
      <c r="M512" t="str">
        <f t="shared" si="39"/>
        <v/>
      </c>
      <c r="N512" t="str">
        <f t="shared" si="40"/>
        <v/>
      </c>
    </row>
    <row r="513" spans="1:13" x14ac:dyDescent="0.25">
      <c r="A513" s="48"/>
      <c r="B513" s="50"/>
      <c r="C513" s="48"/>
      <c r="D513" s="52"/>
      <c r="E513" s="54"/>
      <c r="F513" s="57"/>
      <c r="G513" s="78"/>
      <c r="H513" s="24"/>
      <c r="I513" s="75"/>
      <c r="J513" s="24"/>
      <c r="K513" s="24"/>
      <c r="L513" s="24"/>
      <c r="M513" s="23"/>
    </row>
    <row r="514" spans="1:13" x14ac:dyDescent="0.25">
      <c r="A514" s="48"/>
      <c r="B514" s="49"/>
      <c r="C514" s="48"/>
      <c r="D514" s="52"/>
      <c r="E514" s="53"/>
      <c r="F514" s="56"/>
      <c r="I514" s="19"/>
    </row>
    <row r="515" spans="1:13" x14ac:dyDescent="0.25">
      <c r="A515" s="48"/>
      <c r="B515" s="49"/>
      <c r="C515" s="48"/>
      <c r="D515" s="52"/>
      <c r="E515" s="53"/>
      <c r="F515" s="56"/>
      <c r="I515" s="19"/>
    </row>
    <row r="516" spans="1:13" x14ac:dyDescent="0.25">
      <c r="A516" s="48"/>
      <c r="B516" s="49"/>
      <c r="C516" s="48"/>
      <c r="D516" s="52"/>
      <c r="E516" s="53"/>
      <c r="F516" s="56"/>
      <c r="I516" s="19"/>
    </row>
    <row r="517" spans="1:13" x14ac:dyDescent="0.25">
      <c r="A517" s="48"/>
      <c r="B517" s="49"/>
      <c r="C517" s="48"/>
      <c r="D517" s="52"/>
      <c r="E517" s="53"/>
      <c r="F517" s="56"/>
      <c r="I517" s="19"/>
    </row>
    <row r="518" spans="1:13" x14ac:dyDescent="0.25">
      <c r="A518" s="48"/>
      <c r="B518" s="49"/>
      <c r="C518" s="48"/>
      <c r="D518" s="52"/>
      <c r="E518" s="53"/>
      <c r="F518" s="56"/>
      <c r="I518" s="19"/>
    </row>
    <row r="519" spans="1:13" x14ac:dyDescent="0.25">
      <c r="A519" s="48"/>
      <c r="B519" s="49"/>
      <c r="C519" s="48"/>
      <c r="D519" s="52"/>
      <c r="E519" s="53"/>
      <c r="F519" s="56"/>
      <c r="I519" s="19"/>
    </row>
    <row r="520" spans="1:13" x14ac:dyDescent="0.25">
      <c r="A520" s="48"/>
      <c r="B520" s="49"/>
      <c r="C520" s="48"/>
      <c r="D520" s="52"/>
      <c r="E520" s="53"/>
      <c r="F520" s="56"/>
      <c r="I520" s="19"/>
    </row>
    <row r="521" spans="1:13" x14ac:dyDescent="0.25">
      <c r="A521" s="48"/>
      <c r="B521" s="49"/>
      <c r="C521" s="48"/>
      <c r="D521" s="52"/>
      <c r="E521" s="53"/>
      <c r="F521" s="56"/>
      <c r="I521" s="19"/>
    </row>
    <row r="522" spans="1:13" x14ac:dyDescent="0.25">
      <c r="A522" s="48"/>
      <c r="B522" s="49"/>
      <c r="C522" s="48"/>
      <c r="D522" s="52"/>
      <c r="E522" s="53"/>
      <c r="F522" s="56"/>
      <c r="I522" s="19"/>
    </row>
    <row r="523" spans="1:13" x14ac:dyDescent="0.25">
      <c r="A523" s="48"/>
      <c r="B523" s="49"/>
      <c r="C523" s="48"/>
      <c r="D523" s="52"/>
      <c r="E523" s="53"/>
      <c r="F523" s="56"/>
      <c r="I523" s="19"/>
    </row>
    <row r="524" spans="1:13" x14ac:dyDescent="0.25">
      <c r="A524" s="48"/>
      <c r="B524" s="49"/>
      <c r="C524" s="48"/>
      <c r="D524" s="52"/>
      <c r="E524" s="53"/>
      <c r="F524" s="56"/>
      <c r="I524" s="19"/>
    </row>
    <row r="525" spans="1:13" x14ac:dyDescent="0.25">
      <c r="A525" s="48"/>
      <c r="B525" s="49"/>
      <c r="C525" s="48"/>
      <c r="D525" s="52"/>
      <c r="E525" s="53"/>
      <c r="F525" s="56"/>
      <c r="I525" s="19"/>
    </row>
    <row r="526" spans="1:13" x14ac:dyDescent="0.25">
      <c r="A526" s="48"/>
      <c r="B526" s="49"/>
      <c r="C526" s="48"/>
      <c r="D526" s="52"/>
      <c r="E526" s="53"/>
      <c r="F526" s="56"/>
      <c r="I526" s="19"/>
    </row>
    <row r="527" spans="1:13" x14ac:dyDescent="0.25">
      <c r="A527" s="48"/>
      <c r="B527" s="49"/>
      <c r="C527" s="48"/>
      <c r="D527" s="52"/>
      <c r="E527" s="53"/>
      <c r="F527" s="56"/>
      <c r="I527" s="19"/>
    </row>
    <row r="528" spans="1:13" x14ac:dyDescent="0.25">
      <c r="A528" s="48"/>
      <c r="B528" s="49"/>
      <c r="C528" s="48"/>
      <c r="D528" s="52"/>
      <c r="E528" s="53"/>
      <c r="F528" s="56"/>
      <c r="I528" s="19"/>
    </row>
    <row r="529" spans="1:9" x14ac:dyDescent="0.25">
      <c r="A529" s="48"/>
      <c r="B529" s="49"/>
      <c r="C529" s="48"/>
      <c r="D529" s="52"/>
      <c r="E529" s="53"/>
      <c r="F529" s="56"/>
      <c r="I529" s="19"/>
    </row>
    <row r="530" spans="1:9" x14ac:dyDescent="0.25">
      <c r="A530" s="48"/>
      <c r="B530" s="49"/>
      <c r="C530" s="48"/>
      <c r="D530" s="52"/>
      <c r="E530" s="53"/>
      <c r="F530" s="56"/>
      <c r="I530" s="19"/>
    </row>
    <row r="531" spans="1:9" x14ac:dyDescent="0.25">
      <c r="A531" s="48"/>
      <c r="B531" s="49"/>
      <c r="C531" s="48"/>
      <c r="D531" s="52"/>
      <c r="E531" s="53"/>
      <c r="F531" s="56"/>
      <c r="I531" s="19"/>
    </row>
    <row r="532" spans="1:9" x14ac:dyDescent="0.25">
      <c r="A532" s="48"/>
      <c r="B532" s="49"/>
      <c r="C532" s="48"/>
      <c r="D532" s="52"/>
      <c r="E532" s="53"/>
      <c r="F532" s="56"/>
      <c r="I532" s="19"/>
    </row>
    <row r="533" spans="1:9" x14ac:dyDescent="0.25">
      <c r="A533" s="48"/>
      <c r="B533" s="49"/>
      <c r="C533" s="48"/>
      <c r="D533" s="52"/>
      <c r="E533" s="53"/>
      <c r="F533" s="56"/>
      <c r="I533" s="19"/>
    </row>
    <row r="534" spans="1:9" x14ac:dyDescent="0.25">
      <c r="A534" s="48"/>
      <c r="B534" s="49"/>
      <c r="C534" s="48"/>
      <c r="D534" s="52"/>
      <c r="E534" s="53"/>
      <c r="F534" s="56"/>
      <c r="I534" s="19"/>
    </row>
    <row r="535" spans="1:9" x14ac:dyDescent="0.25">
      <c r="A535" s="48"/>
      <c r="B535" s="49"/>
      <c r="C535" s="48"/>
      <c r="D535" s="52"/>
      <c r="E535" s="53"/>
      <c r="F535" s="56"/>
      <c r="I535" s="19"/>
    </row>
    <row r="536" spans="1:9" x14ac:dyDescent="0.25">
      <c r="A536" s="48"/>
      <c r="B536" s="49"/>
      <c r="C536" s="48"/>
      <c r="D536" s="52"/>
      <c r="E536" s="53"/>
      <c r="F536" s="56"/>
      <c r="I536" s="19"/>
    </row>
    <row r="537" spans="1:9" x14ac:dyDescent="0.25">
      <c r="A537" s="48"/>
      <c r="B537" s="49"/>
      <c r="C537" s="48"/>
      <c r="D537" s="52"/>
      <c r="E537" s="53"/>
      <c r="F537" s="56"/>
      <c r="I537" s="19"/>
    </row>
    <row r="538" spans="1:9" x14ac:dyDescent="0.25">
      <c r="A538" s="48"/>
      <c r="B538" s="49"/>
      <c r="C538" s="48"/>
      <c r="D538" s="52"/>
      <c r="E538" s="53"/>
      <c r="F538" s="56"/>
      <c r="I538" s="19"/>
    </row>
    <row r="539" spans="1:9" x14ac:dyDescent="0.25">
      <c r="A539" s="48"/>
      <c r="B539" s="49"/>
      <c r="C539" s="48"/>
      <c r="D539" s="52"/>
      <c r="E539" s="53"/>
      <c r="F539" s="56"/>
      <c r="I539" s="19"/>
    </row>
    <row r="540" spans="1:9" x14ac:dyDescent="0.25">
      <c r="A540" s="48"/>
      <c r="B540" s="49"/>
      <c r="C540" s="48"/>
      <c r="D540" s="52"/>
      <c r="E540" s="53"/>
      <c r="F540" s="56"/>
      <c r="I540" s="19"/>
    </row>
    <row r="541" spans="1:9" x14ac:dyDescent="0.25">
      <c r="A541" s="48"/>
      <c r="B541" s="49"/>
      <c r="C541" s="48"/>
      <c r="D541" s="52"/>
      <c r="E541" s="53"/>
      <c r="F541" s="56"/>
      <c r="I541" s="19"/>
    </row>
    <row r="542" spans="1:9" x14ac:dyDescent="0.25">
      <c r="A542" s="48"/>
      <c r="B542" s="49"/>
      <c r="C542" s="48"/>
      <c r="D542" s="52"/>
      <c r="E542" s="53"/>
      <c r="F542" s="56"/>
      <c r="I542" s="19"/>
    </row>
    <row r="543" spans="1:9" x14ac:dyDescent="0.25">
      <c r="A543" s="48"/>
      <c r="B543" s="49"/>
      <c r="C543" s="48"/>
      <c r="D543" s="52"/>
      <c r="E543" s="53"/>
      <c r="F543" s="56"/>
      <c r="I543" s="19"/>
    </row>
    <row r="544" spans="1:9" x14ac:dyDescent="0.25">
      <c r="A544" s="48"/>
      <c r="B544" s="49"/>
      <c r="C544" s="48"/>
      <c r="D544" s="52"/>
      <c r="E544" s="53"/>
      <c r="F544" s="56"/>
      <c r="I544" s="19"/>
    </row>
    <row r="545" spans="1:9" x14ac:dyDescent="0.25">
      <c r="A545" s="48"/>
      <c r="B545" s="49"/>
      <c r="C545" s="48"/>
      <c r="D545" s="52"/>
      <c r="E545" s="53"/>
      <c r="F545" s="56"/>
      <c r="I545" s="19"/>
    </row>
    <row r="546" spans="1:9" x14ac:dyDescent="0.25">
      <c r="A546" s="48"/>
      <c r="B546" s="49"/>
      <c r="C546" s="48"/>
      <c r="D546" s="52"/>
      <c r="E546" s="53"/>
      <c r="F546" s="56"/>
      <c r="I546" s="19"/>
    </row>
    <row r="547" spans="1:9" x14ac:dyDescent="0.25">
      <c r="A547" s="48"/>
      <c r="B547" s="49"/>
      <c r="C547" s="48"/>
      <c r="D547" s="52"/>
      <c r="E547" s="53"/>
      <c r="F547" s="56"/>
      <c r="I547" s="19"/>
    </row>
    <row r="548" spans="1:9" x14ac:dyDescent="0.25">
      <c r="A548" s="48"/>
      <c r="B548" s="49"/>
      <c r="C548" s="48"/>
      <c r="D548" s="52"/>
      <c r="E548" s="53"/>
      <c r="F548" s="56"/>
      <c r="I548" s="19"/>
    </row>
    <row r="549" spans="1:9" x14ac:dyDescent="0.25">
      <c r="A549" s="48"/>
      <c r="B549" s="49"/>
      <c r="C549" s="48"/>
      <c r="D549" s="52"/>
      <c r="E549" s="53"/>
      <c r="F549" s="56"/>
      <c r="I549" s="19"/>
    </row>
    <row r="550" spans="1:9" x14ac:dyDescent="0.25">
      <c r="A550" s="48"/>
      <c r="B550" s="49"/>
      <c r="C550" s="48"/>
      <c r="D550" s="52"/>
      <c r="E550" s="53"/>
      <c r="F550" s="56"/>
      <c r="I550" s="19"/>
    </row>
    <row r="551" spans="1:9" x14ac:dyDescent="0.25">
      <c r="A551" s="48"/>
      <c r="B551" s="49"/>
      <c r="C551" s="48"/>
      <c r="D551" s="52"/>
      <c r="E551" s="53"/>
      <c r="F551" s="56"/>
      <c r="I551" s="19"/>
    </row>
    <row r="552" spans="1:9" x14ac:dyDescent="0.25">
      <c r="A552" s="48"/>
      <c r="B552" s="49"/>
      <c r="C552" s="48"/>
      <c r="D552" s="52"/>
      <c r="E552" s="53"/>
      <c r="F552" s="56"/>
      <c r="I552" s="19"/>
    </row>
    <row r="553" spans="1:9" x14ac:dyDescent="0.25">
      <c r="A553" s="48"/>
      <c r="B553" s="49"/>
      <c r="C553" s="48"/>
      <c r="D553" s="52"/>
      <c r="E553" s="53"/>
      <c r="F553" s="56"/>
      <c r="I553" s="19"/>
    </row>
    <row r="554" spans="1:9" x14ac:dyDescent="0.25">
      <c r="A554" s="48"/>
      <c r="B554" s="49"/>
      <c r="C554" s="48"/>
      <c r="D554" s="52"/>
      <c r="E554" s="53"/>
      <c r="F554" s="56"/>
      <c r="I554" s="19"/>
    </row>
    <row r="555" spans="1:9" x14ac:dyDescent="0.25">
      <c r="A555" s="48"/>
      <c r="B555" s="49"/>
      <c r="C555" s="48"/>
      <c r="D555" s="52"/>
      <c r="E555" s="53"/>
      <c r="F555" s="56"/>
      <c r="I555" s="19"/>
    </row>
    <row r="556" spans="1:9" x14ac:dyDescent="0.25">
      <c r="A556" s="48"/>
      <c r="B556" s="49"/>
      <c r="C556" s="48"/>
      <c r="D556" s="52"/>
      <c r="E556" s="53"/>
      <c r="F556" s="56"/>
      <c r="I556" s="19"/>
    </row>
    <row r="557" spans="1:9" x14ac:dyDescent="0.25">
      <c r="A557" s="48"/>
      <c r="B557" s="49"/>
      <c r="C557" s="48"/>
      <c r="D557" s="52"/>
      <c r="E557" s="53"/>
      <c r="F557" s="56"/>
      <c r="I557" s="19"/>
    </row>
    <row r="558" spans="1:9" x14ac:dyDescent="0.25">
      <c r="A558" s="48"/>
      <c r="B558" s="49"/>
      <c r="C558" s="48"/>
      <c r="D558" s="52"/>
      <c r="E558" s="53"/>
      <c r="F558" s="56"/>
      <c r="I558" s="19"/>
    </row>
    <row r="559" spans="1:9" x14ac:dyDescent="0.25">
      <c r="A559" s="48"/>
      <c r="B559" s="49"/>
      <c r="C559" s="48"/>
      <c r="D559" s="52"/>
      <c r="E559" s="53"/>
      <c r="F559" s="56"/>
      <c r="I559" s="19"/>
    </row>
    <row r="560" spans="1:9" x14ac:dyDescent="0.25">
      <c r="A560" s="48"/>
      <c r="B560" s="49"/>
      <c r="C560" s="48"/>
      <c r="D560" s="52"/>
      <c r="E560" s="53"/>
      <c r="F560" s="56"/>
      <c r="I560" s="19"/>
    </row>
    <row r="561" spans="1:9" x14ac:dyDescent="0.25">
      <c r="A561" s="48"/>
      <c r="B561" s="49"/>
      <c r="C561" s="48"/>
      <c r="D561" s="52"/>
      <c r="E561" s="53"/>
      <c r="F561" s="56"/>
      <c r="I561" s="19"/>
    </row>
    <row r="562" spans="1:9" x14ac:dyDescent="0.25">
      <c r="A562" s="48"/>
      <c r="B562" s="49"/>
      <c r="C562" s="48"/>
      <c r="D562" s="52"/>
      <c r="E562" s="53"/>
      <c r="F562" s="56"/>
      <c r="I562" s="19"/>
    </row>
    <row r="563" spans="1:9" x14ac:dyDescent="0.25">
      <c r="A563" s="48"/>
      <c r="B563" s="49"/>
      <c r="C563" s="48"/>
      <c r="D563" s="52"/>
      <c r="E563" s="53"/>
      <c r="F563" s="56"/>
      <c r="I563" s="19"/>
    </row>
    <row r="564" spans="1:9" x14ac:dyDescent="0.25">
      <c r="A564" s="48"/>
      <c r="B564" s="49"/>
      <c r="C564" s="48"/>
      <c r="D564" s="52"/>
      <c r="E564" s="53"/>
      <c r="F564" s="56"/>
      <c r="I564" s="19"/>
    </row>
    <row r="565" spans="1:9" x14ac:dyDescent="0.25">
      <c r="A565" s="48"/>
      <c r="B565" s="49"/>
      <c r="C565" s="48"/>
      <c r="D565" s="52"/>
      <c r="E565" s="53"/>
      <c r="F565" s="56"/>
      <c r="I565" s="19"/>
    </row>
    <row r="566" spans="1:9" x14ac:dyDescent="0.25">
      <c r="A566" s="48"/>
      <c r="B566" s="49"/>
      <c r="C566" s="48"/>
      <c r="D566" s="52"/>
      <c r="E566" s="53"/>
      <c r="F566" s="56"/>
      <c r="I566" s="19"/>
    </row>
    <row r="567" spans="1:9" x14ac:dyDescent="0.25">
      <c r="A567" s="48"/>
      <c r="B567" s="49"/>
      <c r="C567" s="48"/>
      <c r="D567" s="52"/>
      <c r="E567" s="53"/>
      <c r="F567" s="56"/>
      <c r="I567" s="19"/>
    </row>
    <row r="568" spans="1:9" x14ac:dyDescent="0.25">
      <c r="A568" s="48"/>
      <c r="B568" s="49"/>
      <c r="C568" s="48"/>
      <c r="D568" s="52"/>
      <c r="E568" s="53"/>
      <c r="F568" s="56"/>
      <c r="I568" s="19"/>
    </row>
    <row r="569" spans="1:9" x14ac:dyDescent="0.25">
      <c r="A569" s="48"/>
      <c r="B569" s="49"/>
      <c r="C569" s="48"/>
      <c r="D569" s="52"/>
      <c r="E569" s="53"/>
      <c r="F569" s="56"/>
      <c r="I569" s="19"/>
    </row>
    <row r="570" spans="1:9" x14ac:dyDescent="0.25">
      <c r="A570" s="48"/>
      <c r="B570" s="49"/>
      <c r="C570" s="48"/>
      <c r="D570" s="52"/>
      <c r="E570" s="53"/>
      <c r="F570" s="56"/>
      <c r="I570" s="19"/>
    </row>
    <row r="571" spans="1:9" x14ac:dyDescent="0.25">
      <c r="A571" s="48"/>
      <c r="B571" s="49"/>
      <c r="C571" s="48"/>
      <c r="D571" s="52"/>
      <c r="E571" s="53"/>
      <c r="F571" s="56"/>
      <c r="I571" s="19"/>
    </row>
    <row r="572" spans="1:9" x14ac:dyDescent="0.25">
      <c r="A572" s="48"/>
      <c r="B572" s="49"/>
      <c r="C572" s="48"/>
      <c r="D572" s="52"/>
      <c r="E572" s="53"/>
      <c r="F572" s="56"/>
      <c r="I572" s="19"/>
    </row>
    <row r="573" spans="1:9" x14ac:dyDescent="0.25">
      <c r="A573" s="48"/>
      <c r="B573" s="49"/>
      <c r="C573" s="48"/>
      <c r="D573" s="52"/>
      <c r="E573" s="53"/>
      <c r="F573" s="56"/>
      <c r="I573" s="19"/>
    </row>
    <row r="574" spans="1:9" x14ac:dyDescent="0.25">
      <c r="A574" s="48"/>
      <c r="B574" s="49"/>
      <c r="C574" s="48"/>
      <c r="D574" s="52"/>
      <c r="E574" s="53"/>
      <c r="F574" s="56"/>
      <c r="I574" s="19"/>
    </row>
    <row r="575" spans="1:9" x14ac:dyDescent="0.25">
      <c r="A575" s="48"/>
      <c r="B575" s="49"/>
      <c r="C575" s="48"/>
      <c r="D575" s="52"/>
      <c r="E575" s="53"/>
      <c r="F575" s="56"/>
      <c r="I575" s="19"/>
    </row>
    <row r="576" spans="1:9" x14ac:dyDescent="0.25">
      <c r="A576" s="48"/>
      <c r="B576" s="49"/>
      <c r="C576" s="48"/>
      <c r="D576" s="52"/>
      <c r="E576" s="53"/>
      <c r="F576" s="56"/>
      <c r="I576" s="19"/>
    </row>
    <row r="577" spans="1:9" x14ac:dyDescent="0.25">
      <c r="A577" s="48"/>
      <c r="B577" s="49"/>
      <c r="C577" s="48"/>
      <c r="D577" s="52"/>
      <c r="E577" s="53"/>
      <c r="F577" s="56"/>
      <c r="I577" s="19"/>
    </row>
    <row r="578" spans="1:9" x14ac:dyDescent="0.25">
      <c r="A578" s="48"/>
      <c r="B578" s="49"/>
      <c r="C578" s="48"/>
      <c r="D578" s="52"/>
      <c r="E578" s="53"/>
      <c r="F578" s="56"/>
      <c r="I578" s="19"/>
    </row>
    <row r="579" spans="1:9" x14ac:dyDescent="0.25">
      <c r="A579" s="48"/>
      <c r="B579" s="49"/>
      <c r="C579" s="48"/>
      <c r="D579" s="52"/>
      <c r="E579" s="53"/>
      <c r="F579" s="56"/>
      <c r="I579" s="19"/>
    </row>
    <row r="580" spans="1:9" x14ac:dyDescent="0.25">
      <c r="A580" s="48"/>
      <c r="B580" s="49"/>
      <c r="C580" s="48"/>
      <c r="D580" s="52"/>
      <c r="E580" s="53"/>
      <c r="F580" s="56"/>
      <c r="I580" s="19"/>
    </row>
    <row r="581" spans="1:9" x14ac:dyDescent="0.25">
      <c r="A581" s="48"/>
      <c r="B581" s="49"/>
      <c r="C581" s="48"/>
      <c r="D581" s="52"/>
      <c r="E581" s="53"/>
      <c r="F581" s="56"/>
      <c r="I581" s="19"/>
    </row>
    <row r="582" spans="1:9" x14ac:dyDescent="0.25">
      <c r="A582" s="48"/>
      <c r="B582" s="49"/>
      <c r="C582" s="48"/>
      <c r="D582" s="52"/>
      <c r="E582" s="53"/>
      <c r="F582" s="56"/>
      <c r="I582" s="19"/>
    </row>
    <row r="583" spans="1:9" x14ac:dyDescent="0.25">
      <c r="A583" s="48"/>
      <c r="B583" s="49"/>
      <c r="C583" s="48"/>
      <c r="D583" s="52"/>
      <c r="E583" s="53"/>
      <c r="F583" s="56"/>
      <c r="I583" s="19"/>
    </row>
    <row r="584" spans="1:9" x14ac:dyDescent="0.25">
      <c r="A584" s="48"/>
      <c r="B584" s="49"/>
      <c r="C584" s="48"/>
      <c r="D584" s="52"/>
      <c r="E584" s="53"/>
      <c r="F584" s="56"/>
      <c r="I584" s="19"/>
    </row>
    <row r="585" spans="1:9" x14ac:dyDescent="0.25">
      <c r="A585" s="48"/>
      <c r="B585" s="49"/>
      <c r="C585" s="48"/>
      <c r="D585" s="52"/>
      <c r="E585" s="53"/>
      <c r="F585" s="56"/>
      <c r="I585" s="19"/>
    </row>
    <row r="586" spans="1:9" x14ac:dyDescent="0.25">
      <c r="A586" s="48"/>
      <c r="B586" s="49"/>
      <c r="C586" s="48"/>
      <c r="D586" s="52"/>
      <c r="E586" s="53"/>
      <c r="F586" s="56"/>
      <c r="I586" s="19"/>
    </row>
    <row r="587" spans="1:9" x14ac:dyDescent="0.25">
      <c r="A587" s="48"/>
      <c r="B587" s="49"/>
      <c r="C587" s="48"/>
      <c r="D587" s="52"/>
      <c r="E587" s="53"/>
      <c r="F587" s="56"/>
      <c r="I587" s="19"/>
    </row>
    <row r="588" spans="1:9" x14ac:dyDescent="0.25">
      <c r="A588" s="48"/>
      <c r="B588" s="49"/>
      <c r="C588" s="48"/>
      <c r="D588" s="52"/>
      <c r="E588" s="53"/>
      <c r="F588" s="56"/>
      <c r="I588" s="19"/>
    </row>
    <row r="589" spans="1:9" x14ac:dyDescent="0.25">
      <c r="A589" s="48"/>
      <c r="B589" s="49"/>
      <c r="C589" s="48"/>
      <c r="D589" s="52"/>
      <c r="E589" s="53"/>
      <c r="F589" s="56"/>
      <c r="I589" s="19"/>
    </row>
    <row r="590" spans="1:9" x14ac:dyDescent="0.25">
      <c r="A590" s="48"/>
      <c r="B590" s="49"/>
      <c r="C590" s="48"/>
      <c r="D590" s="52"/>
      <c r="E590" s="53"/>
      <c r="F590" s="56"/>
      <c r="I590" s="19"/>
    </row>
    <row r="591" spans="1:9" x14ac:dyDescent="0.25">
      <c r="A591" s="48"/>
      <c r="B591" s="49"/>
      <c r="C591" s="48"/>
      <c r="D591" s="52"/>
      <c r="E591" s="53"/>
      <c r="F591" s="56"/>
      <c r="I591" s="19"/>
    </row>
    <row r="592" spans="1:9" x14ac:dyDescent="0.25">
      <c r="A592" s="48"/>
      <c r="B592" s="49"/>
      <c r="C592" s="48"/>
      <c r="D592" s="52"/>
      <c r="E592" s="53"/>
      <c r="F592" s="56"/>
      <c r="I592" s="19"/>
    </row>
    <row r="593" spans="1:9" x14ac:dyDescent="0.25">
      <c r="A593" s="48"/>
      <c r="B593" s="49"/>
      <c r="C593" s="48"/>
      <c r="D593" s="52"/>
      <c r="E593" s="53"/>
      <c r="F593" s="56"/>
      <c r="I593" s="19"/>
    </row>
    <row r="594" spans="1:9" x14ac:dyDescent="0.25">
      <c r="A594" s="48"/>
      <c r="B594" s="49"/>
      <c r="C594" s="48"/>
      <c r="D594" s="52"/>
      <c r="E594" s="53"/>
      <c r="F594" s="56"/>
      <c r="I594" s="19"/>
    </row>
    <row r="595" spans="1:9" x14ac:dyDescent="0.25">
      <c r="A595" s="48"/>
      <c r="B595" s="49"/>
      <c r="C595" s="48"/>
      <c r="D595" s="52"/>
      <c r="E595" s="53"/>
      <c r="F595" s="56"/>
      <c r="I595" s="19"/>
    </row>
    <row r="596" spans="1:9" x14ac:dyDescent="0.25">
      <c r="A596" s="48"/>
      <c r="B596" s="49"/>
      <c r="C596" s="48"/>
      <c r="D596" s="52"/>
      <c r="E596" s="53"/>
      <c r="F596" s="56"/>
      <c r="I596" s="19"/>
    </row>
    <row r="597" spans="1:9" x14ac:dyDescent="0.25">
      <c r="A597" s="48"/>
      <c r="B597" s="49"/>
      <c r="C597" s="48"/>
      <c r="D597" s="52"/>
      <c r="E597" s="53"/>
      <c r="F597" s="56"/>
      <c r="I597" s="19"/>
    </row>
    <row r="598" spans="1:9" x14ac:dyDescent="0.25">
      <c r="A598" s="48"/>
      <c r="B598" s="49"/>
      <c r="C598" s="48"/>
      <c r="D598" s="52"/>
      <c r="E598" s="53"/>
      <c r="F598" s="56"/>
      <c r="I598" s="19"/>
    </row>
    <row r="599" spans="1:9" x14ac:dyDescent="0.25">
      <c r="A599" s="48"/>
      <c r="B599" s="49"/>
      <c r="C599" s="48"/>
      <c r="D599" s="52"/>
      <c r="E599" s="53"/>
      <c r="F599" s="56"/>
      <c r="I599" s="19"/>
    </row>
    <row r="600" spans="1:9" x14ac:dyDescent="0.25">
      <c r="A600" s="48"/>
      <c r="B600" s="49"/>
      <c r="C600" s="48"/>
      <c r="D600" s="52"/>
      <c r="E600" s="53"/>
      <c r="F600" s="56"/>
      <c r="I600" s="19"/>
    </row>
    <row r="601" spans="1:9" x14ac:dyDescent="0.25">
      <c r="A601" s="48"/>
      <c r="B601" s="49"/>
      <c r="C601" s="48"/>
      <c r="D601" s="52"/>
      <c r="E601" s="53"/>
      <c r="F601" s="56"/>
      <c r="I601" s="19"/>
    </row>
    <row r="602" spans="1:9" x14ac:dyDescent="0.25">
      <c r="A602" s="48"/>
      <c r="B602" s="49"/>
      <c r="C602" s="48"/>
      <c r="D602" s="52"/>
      <c r="E602" s="53"/>
      <c r="F602" s="56"/>
      <c r="I602" s="19"/>
    </row>
    <row r="603" spans="1:9" x14ac:dyDescent="0.25">
      <c r="A603" s="48"/>
      <c r="B603" s="49"/>
      <c r="C603" s="48"/>
      <c r="D603" s="52"/>
      <c r="E603" s="53"/>
      <c r="F603" s="56"/>
      <c r="I603" s="19"/>
    </row>
    <row r="604" spans="1:9" x14ac:dyDescent="0.25">
      <c r="A604" s="48"/>
      <c r="B604" s="49"/>
      <c r="C604" s="48"/>
      <c r="D604" s="52"/>
      <c r="E604" s="53"/>
      <c r="F604" s="56"/>
      <c r="I604" s="19"/>
    </row>
    <row r="605" spans="1:9" x14ac:dyDescent="0.25">
      <c r="A605" s="48"/>
      <c r="B605" s="49"/>
      <c r="C605" s="48"/>
      <c r="D605" s="52"/>
      <c r="E605" s="53"/>
      <c r="F605" s="56"/>
      <c r="I605" s="19"/>
    </row>
    <row r="606" spans="1:9" x14ac:dyDescent="0.25">
      <c r="A606" s="48"/>
      <c r="B606" s="49"/>
      <c r="C606" s="48"/>
      <c r="D606" s="52"/>
      <c r="E606" s="53"/>
      <c r="F606" s="56"/>
      <c r="I606" s="19"/>
    </row>
    <row r="607" spans="1:9" x14ac:dyDescent="0.25">
      <c r="A607" s="48"/>
      <c r="B607" s="49"/>
      <c r="C607" s="48"/>
      <c r="D607" s="52"/>
      <c r="E607" s="53"/>
      <c r="F607" s="56"/>
      <c r="I607" s="19"/>
    </row>
    <row r="608" spans="1:9" x14ac:dyDescent="0.25">
      <c r="A608" s="48"/>
      <c r="B608" s="49"/>
      <c r="C608" s="48"/>
      <c r="D608" s="52"/>
      <c r="E608" s="53"/>
      <c r="F608" s="56"/>
      <c r="I608" s="19"/>
    </row>
    <row r="609" spans="1:9" x14ac:dyDescent="0.25">
      <c r="A609" s="48"/>
      <c r="B609" s="49"/>
      <c r="C609" s="48"/>
      <c r="D609" s="52"/>
      <c r="E609" s="53"/>
      <c r="F609" s="56"/>
      <c r="I609" s="19"/>
    </row>
    <row r="610" spans="1:9" x14ac:dyDescent="0.25">
      <c r="A610" s="48"/>
      <c r="B610" s="49"/>
      <c r="C610" s="48"/>
      <c r="D610" s="52"/>
      <c r="E610" s="53"/>
      <c r="F610" s="56"/>
      <c r="I610" s="19"/>
    </row>
    <row r="611" spans="1:9" x14ac:dyDescent="0.25">
      <c r="A611" s="48"/>
      <c r="B611" s="49"/>
      <c r="C611" s="48"/>
      <c r="D611" s="52"/>
      <c r="E611" s="53"/>
      <c r="F611" s="56"/>
      <c r="I611" s="19"/>
    </row>
    <row r="612" spans="1:9" x14ac:dyDescent="0.25">
      <c r="A612" s="48"/>
      <c r="B612" s="49"/>
      <c r="C612" s="48"/>
      <c r="D612" s="52"/>
      <c r="E612" s="53"/>
      <c r="F612" s="56"/>
      <c r="I612" s="19"/>
    </row>
    <row r="613" spans="1:9" x14ac:dyDescent="0.25">
      <c r="A613" s="48"/>
      <c r="B613" s="49"/>
      <c r="C613" s="48"/>
      <c r="D613" s="52"/>
      <c r="E613" s="53"/>
      <c r="F613" s="56"/>
      <c r="I613" s="19"/>
    </row>
    <row r="614" spans="1:9" x14ac:dyDescent="0.25">
      <c r="A614" s="48"/>
      <c r="B614" s="49"/>
      <c r="C614" s="48"/>
      <c r="D614" s="52"/>
      <c r="E614" s="53"/>
      <c r="F614" s="56"/>
      <c r="I614" s="19"/>
    </row>
    <row r="615" spans="1:9" x14ac:dyDescent="0.25">
      <c r="A615" s="48"/>
      <c r="B615" s="49"/>
      <c r="C615" s="48"/>
      <c r="D615" s="52"/>
      <c r="E615" s="53"/>
      <c r="F615" s="56"/>
      <c r="I615" s="19"/>
    </row>
    <row r="616" spans="1:9" x14ac:dyDescent="0.25">
      <c r="A616" s="48"/>
      <c r="B616" s="49"/>
      <c r="C616" s="48"/>
      <c r="D616" s="52"/>
      <c r="E616" s="53"/>
      <c r="F616" s="56"/>
      <c r="I616" s="19"/>
    </row>
    <row r="617" spans="1:9" x14ac:dyDescent="0.25">
      <c r="A617" s="48"/>
      <c r="B617" s="49"/>
      <c r="C617" s="48"/>
      <c r="D617" s="52"/>
      <c r="E617" s="53"/>
      <c r="F617" s="56"/>
      <c r="I617" s="19"/>
    </row>
    <row r="618" spans="1:9" x14ac:dyDescent="0.25">
      <c r="A618" s="48"/>
      <c r="B618" s="49"/>
      <c r="C618" s="48"/>
      <c r="D618" s="52"/>
      <c r="E618" s="53"/>
      <c r="F618" s="56"/>
      <c r="I618" s="19"/>
    </row>
    <row r="619" spans="1:9" x14ac:dyDescent="0.25">
      <c r="A619" s="48"/>
      <c r="B619" s="49"/>
      <c r="C619" s="48"/>
      <c r="D619" s="52"/>
      <c r="E619" s="53"/>
      <c r="F619" s="56"/>
      <c r="I619" s="19"/>
    </row>
    <row r="620" spans="1:9" x14ac:dyDescent="0.25">
      <c r="A620" s="48"/>
      <c r="B620" s="49"/>
      <c r="C620" s="48"/>
      <c r="D620" s="52"/>
      <c r="E620" s="53"/>
      <c r="F620" s="56"/>
      <c r="I620" s="19"/>
    </row>
    <row r="621" spans="1:9" x14ac:dyDescent="0.25">
      <c r="A621" s="48"/>
      <c r="B621" s="49"/>
      <c r="C621" s="48"/>
      <c r="D621" s="52"/>
      <c r="E621" s="53"/>
      <c r="F621" s="56"/>
      <c r="I621" s="19"/>
    </row>
    <row r="622" spans="1:9" x14ac:dyDescent="0.25">
      <c r="A622" s="48"/>
      <c r="B622" s="49"/>
      <c r="C622" s="48"/>
      <c r="D622" s="52"/>
      <c r="E622" s="53"/>
      <c r="F622" s="56"/>
      <c r="I622" s="19"/>
    </row>
    <row r="623" spans="1:9" x14ac:dyDescent="0.25">
      <c r="A623" s="48"/>
      <c r="B623" s="49"/>
      <c r="C623" s="48"/>
      <c r="D623" s="52"/>
      <c r="E623" s="53"/>
      <c r="F623" s="56"/>
      <c r="I623" s="19"/>
    </row>
    <row r="624" spans="1:9" x14ac:dyDescent="0.25">
      <c r="A624" s="48"/>
      <c r="B624" s="49"/>
      <c r="C624" s="48"/>
      <c r="D624" s="52"/>
      <c r="E624" s="53"/>
      <c r="F624" s="56"/>
      <c r="I624" s="19"/>
    </row>
    <row r="625" spans="1:9" x14ac:dyDescent="0.25">
      <c r="A625" s="48"/>
      <c r="B625" s="49"/>
      <c r="C625" s="48"/>
      <c r="D625" s="52"/>
      <c r="E625" s="53"/>
      <c r="F625" s="56"/>
      <c r="I625" s="19"/>
    </row>
    <row r="626" spans="1:9" x14ac:dyDescent="0.25">
      <c r="A626" s="48"/>
      <c r="B626" s="49"/>
      <c r="C626" s="48"/>
      <c r="D626" s="52"/>
      <c r="E626" s="53"/>
      <c r="F626" s="56"/>
      <c r="I626" s="19"/>
    </row>
    <row r="627" spans="1:9" x14ac:dyDescent="0.25">
      <c r="A627" s="48"/>
      <c r="B627" s="49"/>
      <c r="C627" s="48"/>
      <c r="D627" s="52"/>
      <c r="E627" s="53"/>
      <c r="F627" s="56"/>
      <c r="I627" s="19"/>
    </row>
    <row r="628" spans="1:9" x14ac:dyDescent="0.25">
      <c r="A628" s="48"/>
      <c r="B628" s="49"/>
      <c r="C628" s="48"/>
      <c r="D628" s="52"/>
      <c r="E628" s="53"/>
      <c r="F628" s="56"/>
      <c r="I628" s="19"/>
    </row>
    <row r="629" spans="1:9" x14ac:dyDescent="0.25">
      <c r="A629" s="48"/>
      <c r="B629" s="49"/>
      <c r="C629" s="48"/>
      <c r="D629" s="52"/>
      <c r="E629" s="53"/>
      <c r="F629" s="56"/>
      <c r="I629" s="19"/>
    </row>
    <row r="630" spans="1:9" x14ac:dyDescent="0.25">
      <c r="A630" s="48"/>
      <c r="B630" s="49"/>
      <c r="C630" s="48"/>
      <c r="D630" s="52"/>
      <c r="E630" s="53"/>
      <c r="F630" s="56"/>
      <c r="I630" s="19"/>
    </row>
    <row r="631" spans="1:9" x14ac:dyDescent="0.25">
      <c r="A631" s="48"/>
      <c r="B631" s="49"/>
      <c r="C631" s="48"/>
      <c r="D631" s="52"/>
      <c r="E631" s="53"/>
      <c r="F631" s="56"/>
      <c r="I631" s="19"/>
    </row>
    <row r="632" spans="1:9" x14ac:dyDescent="0.25">
      <c r="A632" s="48"/>
      <c r="B632" s="49"/>
      <c r="C632" s="48"/>
      <c r="D632" s="52"/>
      <c r="E632" s="53"/>
      <c r="F632" s="56"/>
      <c r="I632" s="19"/>
    </row>
    <row r="633" spans="1:9" x14ac:dyDescent="0.25">
      <c r="A633" s="48"/>
      <c r="B633" s="49"/>
      <c r="C633" s="48"/>
      <c r="D633" s="52"/>
      <c r="E633" s="53"/>
      <c r="F633" s="56"/>
      <c r="I633" s="19"/>
    </row>
    <row r="634" spans="1:9" x14ac:dyDescent="0.25">
      <c r="A634" s="48"/>
      <c r="B634" s="49"/>
      <c r="C634" s="48"/>
      <c r="D634" s="52"/>
      <c r="E634" s="53"/>
      <c r="F634" s="56"/>
      <c r="I634" s="19"/>
    </row>
    <row r="635" spans="1:9" x14ac:dyDescent="0.25">
      <c r="A635" s="48"/>
      <c r="B635" s="49"/>
      <c r="C635" s="48"/>
      <c r="D635" s="52"/>
      <c r="E635" s="53"/>
      <c r="F635" s="56"/>
      <c r="I635" s="19"/>
    </row>
    <row r="636" spans="1:9" x14ac:dyDescent="0.25">
      <c r="A636" s="48"/>
      <c r="B636" s="49"/>
      <c r="C636" s="48"/>
      <c r="D636" s="52"/>
      <c r="E636" s="53"/>
      <c r="F636" s="56"/>
      <c r="I636" s="19"/>
    </row>
    <row r="637" spans="1:9" x14ac:dyDescent="0.25">
      <c r="A637" s="48"/>
      <c r="B637" s="49"/>
      <c r="C637" s="48"/>
      <c r="D637" s="52"/>
      <c r="E637" s="53"/>
      <c r="F637" s="56"/>
      <c r="I637" s="19"/>
    </row>
    <row r="638" spans="1:9" x14ac:dyDescent="0.25">
      <c r="A638" s="48"/>
      <c r="B638" s="49"/>
      <c r="C638" s="48"/>
      <c r="D638" s="52"/>
      <c r="E638" s="53"/>
      <c r="F638" s="56"/>
      <c r="I638" s="19"/>
    </row>
    <row r="639" spans="1:9" x14ac:dyDescent="0.25">
      <c r="A639" s="48"/>
      <c r="B639" s="49"/>
      <c r="C639" s="48"/>
      <c r="D639" s="52"/>
      <c r="E639" s="53"/>
      <c r="F639" s="56"/>
      <c r="I639" s="19"/>
    </row>
    <row r="640" spans="1:9" x14ac:dyDescent="0.25">
      <c r="A640" s="48"/>
      <c r="B640" s="49"/>
      <c r="C640" s="48"/>
      <c r="D640" s="52"/>
      <c r="E640" s="53"/>
      <c r="F640" s="56"/>
      <c r="I640" s="19"/>
    </row>
    <row r="641" spans="1:9" x14ac:dyDescent="0.25">
      <c r="A641" s="48"/>
      <c r="B641" s="49"/>
      <c r="C641" s="48"/>
      <c r="D641" s="52"/>
      <c r="E641" s="53"/>
      <c r="F641" s="56"/>
      <c r="I641" s="19"/>
    </row>
    <row r="642" spans="1:9" x14ac:dyDescent="0.25">
      <c r="A642" s="48"/>
      <c r="B642" s="49"/>
      <c r="C642" s="48"/>
      <c r="D642" s="52"/>
      <c r="E642" s="53"/>
      <c r="F642" s="56"/>
      <c r="I642" s="19"/>
    </row>
    <row r="643" spans="1:9" x14ac:dyDescent="0.25">
      <c r="A643" s="48"/>
      <c r="B643" s="49"/>
      <c r="C643" s="48"/>
      <c r="D643" s="52"/>
      <c r="E643" s="53"/>
      <c r="F643" s="56"/>
      <c r="I643" s="19"/>
    </row>
    <row r="644" spans="1:9" x14ac:dyDescent="0.25">
      <c r="A644" s="48"/>
      <c r="B644" s="49"/>
      <c r="C644" s="48"/>
      <c r="D644" s="52"/>
      <c r="E644" s="53"/>
      <c r="F644" s="56"/>
      <c r="I644" s="19"/>
    </row>
    <row r="645" spans="1:9" x14ac:dyDescent="0.25">
      <c r="A645" s="48"/>
      <c r="B645" s="49"/>
      <c r="C645" s="48"/>
      <c r="D645" s="52"/>
      <c r="E645" s="53"/>
      <c r="F645" s="56"/>
      <c r="I645" s="19"/>
    </row>
    <row r="646" spans="1:9" x14ac:dyDescent="0.25">
      <c r="A646" s="48"/>
      <c r="B646" s="49"/>
      <c r="C646" s="48"/>
      <c r="D646" s="52"/>
      <c r="E646" s="53"/>
      <c r="F646" s="56"/>
      <c r="I646" s="19"/>
    </row>
    <row r="647" spans="1:9" x14ac:dyDescent="0.25">
      <c r="A647" s="48"/>
      <c r="B647" s="49"/>
      <c r="C647" s="48"/>
      <c r="D647" s="52"/>
      <c r="E647" s="53"/>
      <c r="F647" s="56"/>
      <c r="I647" s="19"/>
    </row>
    <row r="648" spans="1:9" x14ac:dyDescent="0.25">
      <c r="A648" s="48"/>
      <c r="B648" s="49"/>
      <c r="C648" s="48"/>
      <c r="D648" s="52"/>
      <c r="E648" s="53"/>
      <c r="F648" s="56"/>
      <c r="I648" s="19"/>
    </row>
    <row r="649" spans="1:9" x14ac:dyDescent="0.25">
      <c r="A649" s="48"/>
      <c r="B649" s="49"/>
      <c r="C649" s="48"/>
      <c r="D649" s="52"/>
      <c r="E649" s="53"/>
      <c r="F649" s="56"/>
      <c r="I649" s="19"/>
    </row>
    <row r="650" spans="1:9" x14ac:dyDescent="0.25">
      <c r="A650" s="48"/>
      <c r="B650" s="49"/>
      <c r="C650" s="48"/>
      <c r="D650" s="52"/>
      <c r="E650" s="53"/>
      <c r="F650" s="56"/>
      <c r="I650" s="19"/>
    </row>
    <row r="651" spans="1:9" x14ac:dyDescent="0.25">
      <c r="A651" s="48"/>
      <c r="B651" s="49"/>
      <c r="C651" s="48"/>
      <c r="D651" s="52"/>
      <c r="E651" s="53"/>
      <c r="F651" s="56"/>
      <c r="I651" s="19"/>
    </row>
    <row r="652" spans="1:9" x14ac:dyDescent="0.25">
      <c r="A652" s="48"/>
      <c r="B652" s="49"/>
      <c r="C652" s="48"/>
      <c r="D652" s="52"/>
      <c r="E652" s="53"/>
      <c r="F652" s="56"/>
      <c r="I652" s="19"/>
    </row>
    <row r="653" spans="1:9" x14ac:dyDescent="0.25">
      <c r="A653" s="48"/>
      <c r="B653" s="49"/>
      <c r="C653" s="48"/>
      <c r="D653" s="52"/>
      <c r="E653" s="53"/>
      <c r="F653" s="56"/>
      <c r="I653" s="19"/>
    </row>
    <row r="654" spans="1:9" x14ac:dyDescent="0.25">
      <c r="A654" s="48"/>
      <c r="B654" s="49"/>
      <c r="C654" s="48"/>
      <c r="D654" s="52"/>
      <c r="E654" s="53"/>
      <c r="F654" s="56"/>
      <c r="I654" s="19"/>
    </row>
    <row r="655" spans="1:9" x14ac:dyDescent="0.25">
      <c r="A655" s="48"/>
      <c r="B655" s="49"/>
      <c r="C655" s="48"/>
      <c r="D655" s="52"/>
      <c r="E655" s="53"/>
      <c r="F655" s="56"/>
      <c r="I655" s="19"/>
    </row>
    <row r="656" spans="1:9" x14ac:dyDescent="0.25">
      <c r="A656" s="48"/>
      <c r="B656" s="49"/>
      <c r="C656" s="48"/>
      <c r="D656" s="52"/>
      <c r="E656" s="53"/>
      <c r="F656" s="56"/>
      <c r="I656" s="19"/>
    </row>
    <row r="657" spans="1:9" x14ac:dyDescent="0.25">
      <c r="A657" s="48"/>
      <c r="B657" s="49"/>
      <c r="C657" s="48"/>
      <c r="D657" s="52"/>
      <c r="E657" s="53"/>
      <c r="F657" s="56"/>
      <c r="I657" s="19"/>
    </row>
    <row r="658" spans="1:9" x14ac:dyDescent="0.25">
      <c r="A658" s="48"/>
      <c r="B658" s="49"/>
      <c r="C658" s="48"/>
      <c r="D658" s="52"/>
      <c r="E658" s="53"/>
      <c r="F658" s="56"/>
      <c r="I658" s="19"/>
    </row>
    <row r="659" spans="1:9" x14ac:dyDescent="0.25">
      <c r="A659" s="48"/>
      <c r="B659" s="49"/>
      <c r="C659" s="48"/>
      <c r="D659" s="52"/>
      <c r="E659" s="53"/>
      <c r="F659" s="56"/>
      <c r="I659" s="19"/>
    </row>
    <row r="660" spans="1:9" x14ac:dyDescent="0.25">
      <c r="A660" s="48"/>
      <c r="B660" s="49"/>
      <c r="C660" s="48"/>
      <c r="D660" s="52"/>
      <c r="E660" s="53"/>
      <c r="F660" s="56"/>
      <c r="I660" s="19"/>
    </row>
    <row r="661" spans="1:9" x14ac:dyDescent="0.25">
      <c r="A661" s="48"/>
      <c r="B661" s="49"/>
      <c r="C661" s="48"/>
      <c r="D661" s="52"/>
      <c r="E661" s="53"/>
      <c r="F661" s="56"/>
      <c r="I661" s="19"/>
    </row>
    <row r="662" spans="1:9" x14ac:dyDescent="0.25">
      <c r="A662" s="48"/>
      <c r="B662" s="49"/>
      <c r="C662" s="48"/>
      <c r="D662" s="52"/>
      <c r="E662" s="53"/>
      <c r="F662" s="56"/>
      <c r="I662" s="19"/>
    </row>
    <row r="663" spans="1:9" x14ac:dyDescent="0.25">
      <c r="A663" s="48"/>
      <c r="B663" s="49"/>
      <c r="C663" s="48"/>
      <c r="D663" s="52"/>
      <c r="E663" s="53"/>
      <c r="F663" s="56"/>
      <c r="I663" s="19"/>
    </row>
    <row r="664" spans="1:9" x14ac:dyDescent="0.25">
      <c r="A664" s="48"/>
      <c r="B664" s="49"/>
      <c r="C664" s="48"/>
      <c r="D664" s="52"/>
      <c r="E664" s="53"/>
      <c r="F664" s="56"/>
      <c r="I664" s="19"/>
    </row>
    <row r="665" spans="1:9" x14ac:dyDescent="0.25">
      <c r="A665" s="48"/>
      <c r="B665" s="49"/>
      <c r="C665" s="48"/>
      <c r="D665" s="52"/>
      <c r="E665" s="53"/>
      <c r="F665" s="56"/>
      <c r="I665" s="19"/>
    </row>
    <row r="666" spans="1:9" x14ac:dyDescent="0.25">
      <c r="A666" s="48"/>
      <c r="B666" s="49"/>
      <c r="C666" s="48"/>
      <c r="D666" s="52"/>
      <c r="E666" s="53"/>
      <c r="F666" s="56"/>
      <c r="I666" s="19"/>
    </row>
    <row r="667" spans="1:9" x14ac:dyDescent="0.25">
      <c r="A667" s="48"/>
      <c r="B667" s="49"/>
      <c r="C667" s="48"/>
      <c r="D667" s="52"/>
      <c r="E667" s="53"/>
      <c r="F667" s="56"/>
      <c r="I667" s="19"/>
    </row>
    <row r="668" spans="1:9" x14ac:dyDescent="0.25">
      <c r="A668" s="48"/>
      <c r="B668" s="49"/>
      <c r="C668" s="48"/>
      <c r="D668" s="52"/>
      <c r="E668" s="53"/>
      <c r="F668" s="56"/>
      <c r="I668" s="19"/>
    </row>
    <row r="669" spans="1:9" x14ac:dyDescent="0.25">
      <c r="A669" s="48"/>
      <c r="B669" s="49"/>
      <c r="C669" s="48"/>
      <c r="D669" s="52"/>
      <c r="E669" s="53"/>
      <c r="F669" s="56"/>
      <c r="I669" s="19"/>
    </row>
    <row r="670" spans="1:9" x14ac:dyDescent="0.25">
      <c r="A670" s="48"/>
      <c r="B670" s="49"/>
      <c r="C670" s="48"/>
      <c r="D670" s="52"/>
      <c r="E670" s="53"/>
      <c r="F670" s="56"/>
      <c r="I670" s="19"/>
    </row>
    <row r="671" spans="1:9" x14ac:dyDescent="0.25">
      <c r="A671" s="48"/>
      <c r="B671" s="49"/>
      <c r="C671" s="48"/>
      <c r="D671" s="52"/>
      <c r="E671" s="53"/>
      <c r="F671" s="56"/>
      <c r="I671" s="19"/>
    </row>
    <row r="672" spans="1:9" x14ac:dyDescent="0.25">
      <c r="A672" s="48"/>
      <c r="B672" s="49"/>
      <c r="C672" s="48"/>
      <c r="D672" s="52"/>
      <c r="E672" s="53"/>
      <c r="F672" s="56"/>
      <c r="I672" s="19"/>
    </row>
    <row r="673" spans="1:9" x14ac:dyDescent="0.25">
      <c r="A673" s="48"/>
      <c r="B673" s="49"/>
      <c r="C673" s="48"/>
      <c r="D673" s="52"/>
      <c r="E673" s="53"/>
      <c r="F673" s="56"/>
      <c r="I673" s="19"/>
    </row>
    <row r="674" spans="1:9" x14ac:dyDescent="0.25">
      <c r="A674" s="48"/>
      <c r="B674" s="49"/>
      <c r="C674" s="48"/>
      <c r="D674" s="52"/>
      <c r="E674" s="53"/>
      <c r="F674" s="56"/>
      <c r="I674" s="19"/>
    </row>
    <row r="675" spans="1:9" x14ac:dyDescent="0.25">
      <c r="A675" s="48"/>
      <c r="B675" s="49"/>
      <c r="C675" s="48"/>
      <c r="D675" s="52"/>
      <c r="E675" s="53"/>
      <c r="F675" s="56"/>
      <c r="I675" s="19"/>
    </row>
    <row r="676" spans="1:9" x14ac:dyDescent="0.25">
      <c r="A676" s="48"/>
      <c r="B676" s="49"/>
      <c r="C676" s="48"/>
      <c r="D676" s="52"/>
      <c r="E676" s="53"/>
      <c r="F676" s="56"/>
      <c r="I676" s="19"/>
    </row>
    <row r="677" spans="1:9" x14ac:dyDescent="0.25">
      <c r="A677" s="48"/>
      <c r="B677" s="49"/>
      <c r="C677" s="48"/>
      <c r="D677" s="52"/>
      <c r="E677" s="53"/>
      <c r="F677" s="56"/>
      <c r="I677" s="19"/>
    </row>
    <row r="678" spans="1:9" x14ac:dyDescent="0.25">
      <c r="A678" s="48"/>
      <c r="B678" s="49"/>
      <c r="C678" s="48"/>
      <c r="D678" s="52"/>
      <c r="E678" s="53"/>
      <c r="F678" s="56"/>
      <c r="I678" s="19"/>
    </row>
    <row r="679" spans="1:9" x14ac:dyDescent="0.25">
      <c r="A679" s="48"/>
      <c r="B679" s="49"/>
      <c r="C679" s="48"/>
      <c r="D679" s="52"/>
      <c r="E679" s="53"/>
      <c r="F679" s="56"/>
      <c r="I679" s="19"/>
    </row>
    <row r="680" spans="1:9" x14ac:dyDescent="0.25">
      <c r="A680" s="48"/>
      <c r="B680" s="49"/>
      <c r="C680" s="48"/>
      <c r="D680" s="52"/>
      <c r="E680" s="53"/>
      <c r="F680" s="56"/>
      <c r="I680" s="19"/>
    </row>
    <row r="681" spans="1:9" x14ac:dyDescent="0.25">
      <c r="A681" s="48"/>
      <c r="B681" s="49"/>
      <c r="C681" s="48"/>
      <c r="D681" s="52"/>
      <c r="E681" s="53"/>
      <c r="F681" s="56"/>
      <c r="I681" s="19"/>
    </row>
    <row r="682" spans="1:9" x14ac:dyDescent="0.25">
      <c r="A682" s="48"/>
      <c r="B682" s="49"/>
      <c r="C682" s="48"/>
      <c r="D682" s="52"/>
      <c r="E682" s="53"/>
      <c r="F682" s="56"/>
      <c r="I682" s="19"/>
    </row>
    <row r="683" spans="1:9" x14ac:dyDescent="0.25">
      <c r="A683" s="48"/>
      <c r="B683" s="49"/>
      <c r="C683" s="48"/>
      <c r="D683" s="52"/>
      <c r="E683" s="53"/>
      <c r="F683" s="56"/>
      <c r="I683" s="19"/>
    </row>
    <row r="684" spans="1:9" x14ac:dyDescent="0.25">
      <c r="A684" s="48"/>
      <c r="B684" s="49"/>
      <c r="C684" s="48"/>
      <c r="D684" s="52"/>
      <c r="E684" s="53"/>
      <c r="F684" s="56"/>
      <c r="I684" s="19"/>
    </row>
    <row r="685" spans="1:9" x14ac:dyDescent="0.25">
      <c r="A685" s="48"/>
      <c r="B685" s="49"/>
      <c r="C685" s="48"/>
      <c r="D685" s="52"/>
      <c r="E685" s="53"/>
      <c r="F685" s="56"/>
      <c r="I685" s="19"/>
    </row>
    <row r="686" spans="1:9" x14ac:dyDescent="0.25">
      <c r="A686" s="48"/>
      <c r="B686" s="49"/>
      <c r="C686" s="48"/>
      <c r="D686" s="52"/>
      <c r="E686" s="53"/>
      <c r="F686" s="56"/>
      <c r="I686" s="19"/>
    </row>
    <row r="687" spans="1:9" x14ac:dyDescent="0.25">
      <c r="A687" s="48"/>
      <c r="B687" s="49"/>
      <c r="C687" s="48"/>
      <c r="D687" s="52"/>
      <c r="E687" s="53"/>
      <c r="F687" s="56"/>
      <c r="I687" s="19"/>
    </row>
    <row r="688" spans="1:9" x14ac:dyDescent="0.25">
      <c r="A688" s="48"/>
      <c r="B688" s="49"/>
      <c r="C688" s="48"/>
      <c r="D688" s="52"/>
      <c r="E688" s="53"/>
      <c r="F688" s="56"/>
      <c r="I688" s="19"/>
    </row>
    <row r="689" spans="1:9" x14ac:dyDescent="0.25">
      <c r="A689" s="48"/>
      <c r="B689" s="49"/>
      <c r="C689" s="48"/>
      <c r="D689" s="52"/>
      <c r="E689" s="53"/>
      <c r="F689" s="56"/>
      <c r="I689" s="19"/>
    </row>
    <row r="690" spans="1:9" x14ac:dyDescent="0.25">
      <c r="A690" s="48"/>
      <c r="B690" s="49"/>
      <c r="C690" s="48"/>
      <c r="D690" s="52"/>
      <c r="E690" s="53"/>
      <c r="F690" s="56"/>
      <c r="I690" s="19"/>
    </row>
    <row r="691" spans="1:9" x14ac:dyDescent="0.25">
      <c r="A691" s="48"/>
      <c r="B691" s="49"/>
      <c r="C691" s="48"/>
      <c r="D691" s="52"/>
      <c r="E691" s="53"/>
      <c r="F691" s="56"/>
      <c r="I691" s="19"/>
    </row>
    <row r="692" spans="1:9" x14ac:dyDescent="0.25">
      <c r="A692" s="48"/>
      <c r="B692" s="49"/>
      <c r="C692" s="48"/>
      <c r="D692" s="52"/>
      <c r="E692" s="53"/>
      <c r="F692" s="56"/>
      <c r="I692" s="19"/>
    </row>
    <row r="693" spans="1:9" x14ac:dyDescent="0.25">
      <c r="A693" s="48"/>
      <c r="B693" s="49"/>
      <c r="C693" s="48"/>
      <c r="D693" s="52"/>
      <c r="E693" s="53"/>
      <c r="F693" s="56"/>
      <c r="I693" s="19"/>
    </row>
    <row r="694" spans="1:9" x14ac:dyDescent="0.25">
      <c r="A694" s="48"/>
      <c r="B694" s="49"/>
      <c r="C694" s="48"/>
      <c r="D694" s="52"/>
      <c r="E694" s="53"/>
      <c r="F694" s="56"/>
      <c r="I694" s="19"/>
    </row>
    <row r="695" spans="1:9" x14ac:dyDescent="0.25">
      <c r="A695" s="48"/>
      <c r="B695" s="49"/>
      <c r="C695" s="48"/>
      <c r="D695" s="52"/>
      <c r="E695" s="53"/>
      <c r="F695" s="56"/>
      <c r="I695" s="19"/>
    </row>
    <row r="696" spans="1:9" x14ac:dyDescent="0.25">
      <c r="A696" s="48"/>
      <c r="B696" s="49"/>
      <c r="C696" s="48"/>
      <c r="D696" s="52"/>
      <c r="E696" s="53"/>
      <c r="F696" s="56"/>
      <c r="I696" s="19"/>
    </row>
    <row r="697" spans="1:9" x14ac:dyDescent="0.25">
      <c r="A697" s="48"/>
      <c r="B697" s="49"/>
      <c r="C697" s="48"/>
      <c r="D697" s="52"/>
      <c r="E697" s="53"/>
      <c r="F697" s="56"/>
      <c r="I697" s="19"/>
    </row>
    <row r="698" spans="1:9" x14ac:dyDescent="0.25">
      <c r="A698" s="48"/>
      <c r="B698" s="49"/>
      <c r="C698" s="48"/>
      <c r="D698" s="52"/>
      <c r="E698" s="53"/>
      <c r="F698" s="56"/>
      <c r="I698" s="19"/>
    </row>
    <row r="699" spans="1:9" x14ac:dyDescent="0.25">
      <c r="A699" s="48"/>
      <c r="B699" s="49"/>
      <c r="C699" s="48"/>
      <c r="D699" s="52"/>
      <c r="E699" s="53"/>
      <c r="F699" s="56"/>
      <c r="I699" s="19"/>
    </row>
    <row r="700" spans="1:9" x14ac:dyDescent="0.25">
      <c r="A700" s="48"/>
      <c r="B700" s="49"/>
      <c r="C700" s="48"/>
      <c r="D700" s="52"/>
      <c r="E700" s="53"/>
      <c r="F700" s="56"/>
      <c r="I700" s="19"/>
    </row>
    <row r="701" spans="1:9" x14ac:dyDescent="0.25">
      <c r="A701" s="48"/>
      <c r="B701" s="49"/>
      <c r="C701" s="48"/>
      <c r="D701" s="52"/>
      <c r="E701" s="53"/>
      <c r="F701" s="56"/>
      <c r="I701" s="19"/>
    </row>
    <row r="702" spans="1:9" x14ac:dyDescent="0.25">
      <c r="A702" s="48"/>
      <c r="B702" s="49"/>
      <c r="C702" s="48"/>
      <c r="D702" s="52"/>
      <c r="E702" s="53"/>
      <c r="F702" s="56"/>
      <c r="I702" s="19"/>
    </row>
    <row r="703" spans="1:9" x14ac:dyDescent="0.25">
      <c r="A703" s="48"/>
      <c r="B703" s="49"/>
      <c r="C703" s="48"/>
      <c r="D703" s="52"/>
      <c r="E703" s="53"/>
      <c r="F703" s="56"/>
      <c r="I703" s="19"/>
    </row>
    <row r="704" spans="1:9" x14ac:dyDescent="0.25">
      <c r="A704" s="48"/>
      <c r="B704" s="49"/>
      <c r="C704" s="48"/>
      <c r="D704" s="52"/>
      <c r="E704" s="53"/>
      <c r="F704" s="56"/>
      <c r="I704" s="19"/>
    </row>
    <row r="705" spans="1:9" x14ac:dyDescent="0.25">
      <c r="A705" s="48"/>
      <c r="B705" s="49"/>
      <c r="C705" s="48"/>
      <c r="D705" s="52"/>
      <c r="E705" s="53"/>
      <c r="F705" s="56"/>
      <c r="I705" s="19"/>
    </row>
    <row r="706" spans="1:9" x14ac:dyDescent="0.25">
      <c r="A706" s="48"/>
      <c r="B706" s="49"/>
      <c r="C706" s="48"/>
      <c r="D706" s="52"/>
      <c r="E706" s="53"/>
      <c r="F706" s="56"/>
      <c r="I706" s="19"/>
    </row>
    <row r="707" spans="1:9" x14ac:dyDescent="0.25">
      <c r="A707" s="48"/>
      <c r="B707" s="49"/>
      <c r="C707" s="48"/>
      <c r="D707" s="52"/>
      <c r="E707" s="53"/>
      <c r="F707" s="56"/>
      <c r="I707" s="19"/>
    </row>
    <row r="708" spans="1:9" x14ac:dyDescent="0.25">
      <c r="A708" s="48"/>
      <c r="B708" s="49"/>
      <c r="C708" s="48"/>
      <c r="D708" s="52"/>
      <c r="E708" s="53"/>
      <c r="F708" s="56"/>
      <c r="I708" s="19"/>
    </row>
    <row r="709" spans="1:9" x14ac:dyDescent="0.25">
      <c r="A709" s="48"/>
      <c r="B709" s="49"/>
      <c r="C709" s="48"/>
      <c r="D709" s="52"/>
      <c r="E709" s="53"/>
      <c r="F709" s="56"/>
      <c r="I709" s="19"/>
    </row>
    <row r="710" spans="1:9" x14ac:dyDescent="0.25">
      <c r="A710" s="48"/>
      <c r="B710" s="49"/>
      <c r="C710" s="48"/>
      <c r="D710" s="52"/>
      <c r="E710" s="53"/>
      <c r="F710" s="56"/>
      <c r="I710" s="19"/>
    </row>
    <row r="711" spans="1:9" x14ac:dyDescent="0.25">
      <c r="A711" s="48"/>
      <c r="B711" s="49"/>
      <c r="C711" s="48"/>
      <c r="D711" s="52"/>
      <c r="E711" s="53"/>
      <c r="F711" s="56"/>
      <c r="I711" s="19"/>
    </row>
    <row r="712" spans="1:9" x14ac:dyDescent="0.25">
      <c r="A712" s="48"/>
      <c r="B712" s="49"/>
      <c r="C712" s="48"/>
      <c r="D712" s="52"/>
      <c r="E712" s="53"/>
      <c r="F712" s="56"/>
      <c r="I712" s="19"/>
    </row>
    <row r="713" spans="1:9" x14ac:dyDescent="0.25">
      <c r="A713" s="48"/>
      <c r="B713" s="49"/>
      <c r="C713" s="48"/>
      <c r="D713" s="52"/>
      <c r="E713" s="53"/>
      <c r="F713" s="56"/>
      <c r="I713" s="19"/>
    </row>
    <row r="714" spans="1:9" x14ac:dyDescent="0.25">
      <c r="A714" s="48"/>
      <c r="B714" s="49"/>
      <c r="C714" s="48"/>
      <c r="D714" s="52"/>
      <c r="E714" s="53"/>
      <c r="F714" s="56"/>
      <c r="I714" s="19"/>
    </row>
    <row r="715" spans="1:9" x14ac:dyDescent="0.25">
      <c r="A715" s="48"/>
      <c r="B715" s="49"/>
      <c r="C715" s="48"/>
      <c r="D715" s="52"/>
      <c r="E715" s="53"/>
      <c r="F715" s="56"/>
      <c r="I715" s="19"/>
    </row>
    <row r="716" spans="1:9" x14ac:dyDescent="0.25">
      <c r="A716" s="48"/>
      <c r="B716" s="49"/>
      <c r="C716" s="48"/>
      <c r="D716" s="52"/>
      <c r="E716" s="53"/>
      <c r="F716" s="56"/>
      <c r="I716" s="19"/>
    </row>
    <row r="717" spans="1:9" x14ac:dyDescent="0.25">
      <c r="A717" s="48"/>
      <c r="B717" s="49"/>
      <c r="C717" s="48"/>
      <c r="D717" s="52"/>
      <c r="E717" s="53"/>
      <c r="F717" s="56"/>
      <c r="I717" s="19"/>
    </row>
    <row r="718" spans="1:9" x14ac:dyDescent="0.25">
      <c r="A718" s="48"/>
      <c r="B718" s="49"/>
      <c r="C718" s="48"/>
      <c r="D718" s="52"/>
      <c r="E718" s="53"/>
      <c r="F718" s="56"/>
      <c r="I718" s="19"/>
    </row>
    <row r="719" spans="1:9" x14ac:dyDescent="0.25">
      <c r="A719" s="48"/>
      <c r="B719" s="49"/>
      <c r="C719" s="48"/>
      <c r="D719" s="52"/>
      <c r="E719" s="53"/>
      <c r="F719" s="56"/>
      <c r="I719" s="19"/>
    </row>
    <row r="720" spans="1:9" x14ac:dyDescent="0.25">
      <c r="A720" s="48"/>
      <c r="B720" s="49"/>
      <c r="C720" s="48"/>
      <c r="D720" s="52"/>
      <c r="E720" s="53"/>
      <c r="F720" s="56"/>
      <c r="I720" s="19"/>
    </row>
    <row r="721" spans="1:9" x14ac:dyDescent="0.25">
      <c r="A721" s="48"/>
      <c r="B721" s="49"/>
      <c r="C721" s="48"/>
      <c r="D721" s="52"/>
      <c r="E721" s="53"/>
      <c r="F721" s="56"/>
      <c r="I721" s="19"/>
    </row>
    <row r="722" spans="1:9" x14ac:dyDescent="0.25">
      <c r="A722" s="48"/>
      <c r="B722" s="49"/>
      <c r="C722" s="48"/>
      <c r="D722" s="52"/>
      <c r="E722" s="53"/>
      <c r="F722" s="56"/>
      <c r="I722" s="19"/>
    </row>
    <row r="723" spans="1:9" x14ac:dyDescent="0.25">
      <c r="A723" s="48"/>
      <c r="B723" s="49"/>
      <c r="C723" s="48"/>
      <c r="D723" s="52"/>
      <c r="E723" s="53"/>
      <c r="F723" s="56"/>
      <c r="I723" s="19"/>
    </row>
    <row r="724" spans="1:9" x14ac:dyDescent="0.25">
      <c r="A724" s="48"/>
      <c r="B724" s="49"/>
      <c r="C724" s="48"/>
      <c r="D724" s="52"/>
      <c r="E724" s="53"/>
      <c r="F724" s="56"/>
      <c r="I724" s="19"/>
    </row>
    <row r="725" spans="1:9" x14ac:dyDescent="0.25">
      <c r="A725" s="48"/>
      <c r="B725" s="49"/>
      <c r="C725" s="48"/>
      <c r="D725" s="52"/>
      <c r="E725" s="53"/>
      <c r="F725" s="56"/>
      <c r="I725" s="19"/>
    </row>
    <row r="726" spans="1:9" x14ac:dyDescent="0.25">
      <c r="A726" s="48"/>
      <c r="B726" s="49"/>
      <c r="C726" s="48"/>
      <c r="D726" s="52"/>
      <c r="E726" s="53"/>
      <c r="F726" s="56"/>
      <c r="I726" s="19"/>
    </row>
    <row r="727" spans="1:9" x14ac:dyDescent="0.25">
      <c r="A727" s="48"/>
      <c r="B727" s="49"/>
      <c r="C727" s="48"/>
      <c r="D727" s="52"/>
      <c r="E727" s="53"/>
      <c r="F727" s="56"/>
      <c r="I727" s="19"/>
    </row>
    <row r="728" spans="1:9" x14ac:dyDescent="0.25">
      <c r="A728" s="48"/>
      <c r="B728" s="49"/>
      <c r="C728" s="48"/>
      <c r="D728" s="52"/>
      <c r="E728" s="53"/>
      <c r="F728" s="56"/>
      <c r="I728" s="19"/>
    </row>
    <row r="729" spans="1:9" x14ac:dyDescent="0.25">
      <c r="A729" s="48"/>
      <c r="B729" s="49"/>
      <c r="C729" s="48"/>
      <c r="D729" s="52"/>
      <c r="E729" s="53"/>
      <c r="F729" s="56"/>
      <c r="I729" s="19"/>
    </row>
    <row r="730" spans="1:9" x14ac:dyDescent="0.25">
      <c r="A730" s="48"/>
      <c r="B730" s="49"/>
      <c r="C730" s="48"/>
      <c r="D730" s="52"/>
      <c r="E730" s="53"/>
      <c r="F730" s="56"/>
      <c r="I730" s="19"/>
    </row>
    <row r="731" spans="1:9" x14ac:dyDescent="0.25">
      <c r="A731" s="48"/>
      <c r="B731" s="49"/>
      <c r="C731" s="48"/>
      <c r="D731" s="52"/>
      <c r="E731" s="53"/>
      <c r="F731" s="56"/>
    </row>
    <row r="732" spans="1:9" x14ac:dyDescent="0.25">
      <c r="A732" s="48"/>
      <c r="B732" s="49"/>
      <c r="C732" s="48"/>
      <c r="D732" s="52"/>
      <c r="E732" s="53"/>
      <c r="F732" s="56"/>
    </row>
    <row r="733" spans="1:9" x14ac:dyDescent="0.25">
      <c r="A733" s="48"/>
      <c r="B733" s="49"/>
      <c r="C733" s="48"/>
      <c r="D733" s="52"/>
      <c r="E733" s="53"/>
      <c r="F733" s="56"/>
    </row>
    <row r="734" spans="1:9" x14ac:dyDescent="0.25">
      <c r="A734" s="48"/>
      <c r="B734" s="51">
        <v>12</v>
      </c>
      <c r="C734" s="48"/>
      <c r="D734" s="52"/>
      <c r="E734" s="55">
        <f>N513</f>
        <v>0</v>
      </c>
      <c r="F734" s="56"/>
    </row>
  </sheetData>
  <autoFilter ref="A1:F734" xr:uid="{00000000-0009-0000-0000-000000000000}">
    <sortState xmlns:xlrd2="http://schemas.microsoft.com/office/spreadsheetml/2017/richdata2" ref="A4:F734">
      <sortCondition ref="A1:A734"/>
    </sortState>
  </autoFilter>
  <mergeCells count="6">
    <mergeCell ref="A1:A2"/>
    <mergeCell ref="F1:F2"/>
    <mergeCell ref="E1:E2"/>
    <mergeCell ref="D1:D2"/>
    <mergeCell ref="C1:C2"/>
    <mergeCell ref="B1:B2"/>
  </mergeCells>
  <hyperlinks>
    <hyperlink ref="F6" r:id="rId1" xr:uid="{D7A0FF52-BDB0-45AF-A78C-0F14D45ADEB9}"/>
    <hyperlink ref="F10" r:id="rId2" xr:uid="{0A6C05BF-E5BA-4453-B5C4-1C6AC207FD7D}"/>
    <hyperlink ref="F101" r:id="rId3" xr:uid="{7C397FB8-454F-4E6D-A0A9-8DBA8C35E3FD}"/>
    <hyperlink ref="F3" r:id="rId4" xr:uid="{240B9773-2FA8-4A2D-9F8A-A7C690CE9B8C}"/>
    <hyperlink ref="F11" r:id="rId5" xr:uid="{A0669F74-6AD4-4EBA-B30F-60C5690001BA}"/>
    <hyperlink ref="F12" r:id="rId6" xr:uid="{D0186569-EAC3-4781-BAF9-34DAA466A8A6}"/>
    <hyperlink ref="F13" r:id="rId7" xr:uid="{58A70D98-8E51-4AF6-8410-1023CB6D5FF9}"/>
    <hyperlink ref="F15" r:id="rId8" xr:uid="{660B7F43-71A6-422B-88C3-4E2A530DA30E}"/>
    <hyperlink ref="F14" r:id="rId9" xr:uid="{8ED461B0-4914-45B9-B6D9-0C72B4A333B1}"/>
    <hyperlink ref="F16" r:id="rId10" xr:uid="{A502C1D7-1C5F-4B31-966B-90ED2032AB64}"/>
    <hyperlink ref="F23" r:id="rId11" xr:uid="{8C45DCAB-1B50-49D9-8E4E-4205BCE068F4}"/>
    <hyperlink ref="F26" r:id="rId12" xr:uid="{3085D5D3-D3BD-4927-AB10-DB2FB617498C}"/>
    <hyperlink ref="F28" r:id="rId13" xr:uid="{B3FF4F50-5CF4-489D-A988-F6D76906A632}"/>
    <hyperlink ref="F31" r:id="rId14" xr:uid="{5B72F267-F06C-4C53-B81F-2F557BFDBBC9}"/>
    <hyperlink ref="F35" r:id="rId15" xr:uid="{D51EBF97-EE65-4B38-9B68-103331F59DEB}"/>
    <hyperlink ref="F38" r:id="rId16" xr:uid="{FB271DF3-47BC-40A3-8984-35BCE98A410F}"/>
    <hyperlink ref="F42" r:id="rId17" xr:uid="{6FC9FC74-9E96-4309-8D41-24ABF40E101E}"/>
    <hyperlink ref="F43" r:id="rId18" xr:uid="{D097568F-D244-43FC-8958-E706DCD62DB2}"/>
    <hyperlink ref="F47" r:id="rId19" xr:uid="{82D443A2-228E-4042-BEE1-4D9A3DA9E746}"/>
    <hyperlink ref="F53" r:id="rId20" xr:uid="{F44C4005-1777-42B4-86B1-8FDEF3BDB880}"/>
    <hyperlink ref="F54" r:id="rId21" xr:uid="{D1350595-116B-4760-817C-F7752ED9F422}"/>
    <hyperlink ref="F60" r:id="rId22" xr:uid="{002C9AF2-AF85-4E93-B637-66FBFAF13744}"/>
    <hyperlink ref="F66" r:id="rId23" xr:uid="{3C0E607A-375F-462F-8109-9919470DA86A}"/>
    <hyperlink ref="F67" r:id="rId24" xr:uid="{7ADA1535-124B-4AFF-AAB8-65C941CFB589}"/>
    <hyperlink ref="F72" r:id="rId25" xr:uid="{1906D5D8-378E-46AB-B9D6-464CC4551E85}"/>
    <hyperlink ref="F73" r:id="rId26" xr:uid="{04C557CB-5EF4-4CDB-B043-7DDDD782D5F4}"/>
    <hyperlink ref="F74" r:id="rId27" xr:uid="{6830BC1E-7836-4AAF-9897-30FB8F5087A0}"/>
    <hyperlink ref="F75" r:id="rId28" xr:uid="{A712D65D-C980-47C8-8295-0D729C30C8A1}"/>
    <hyperlink ref="F79" r:id="rId29" xr:uid="{BCEE97FE-6B24-4FA0-BBCB-157356D1570A}"/>
    <hyperlink ref="F82" r:id="rId30" xr:uid="{AF937CE0-C7E1-48F9-B470-E088BCAEB95E}"/>
    <hyperlink ref="F83" r:id="rId31" xr:uid="{E5AD684B-9F41-4E7D-B48A-80197724B9C8}"/>
    <hyperlink ref="F87" r:id="rId32" xr:uid="{B2970190-3FBE-4ECB-8BF5-BCE982416D1C}"/>
    <hyperlink ref="F88" r:id="rId33" xr:uid="{4EB19BDD-9285-4736-A063-81B5A0C630ED}"/>
    <hyperlink ref="F89" r:id="rId34" xr:uid="{4FB57C28-06DC-45F3-8AD0-D0A8A023AC2A}"/>
    <hyperlink ref="F90" r:id="rId35" xr:uid="{7006595E-4235-410C-9C3B-7945CAD12F99}"/>
    <hyperlink ref="F91" r:id="rId36" xr:uid="{4B6D1832-6A46-449A-83F8-CEC7DD98A533}"/>
    <hyperlink ref="F102" r:id="rId37" xr:uid="{4C5BAADE-3A41-4971-A969-80819EE5AD49}"/>
    <hyperlink ref="F103" r:id="rId38" xr:uid="{1B04D965-8D13-4DB0-A915-88E3476B65D9}"/>
    <hyperlink ref="F105" r:id="rId39" xr:uid="{3C6D9EE6-6EA5-4D87-8E20-86D8EB653402}"/>
    <hyperlink ref="F106" r:id="rId40" xr:uid="{0957FCED-C729-454E-809A-E08E998077EA}"/>
    <hyperlink ref="F107" r:id="rId41" xr:uid="{5F6A54C0-CDEE-4958-905A-F9437867ABBE}"/>
    <hyperlink ref="F109" r:id="rId42" xr:uid="{AE80F88A-60D9-4D85-A993-6BC9C54E8E43}"/>
    <hyperlink ref="F111" r:id="rId43" xr:uid="{1CBBDB71-1D3A-414E-92E6-74CC608E54CF}"/>
    <hyperlink ref="F112" r:id="rId44" xr:uid="{54AF6E87-6508-4ABA-BF6C-42FE3F23388E}"/>
    <hyperlink ref="F120" r:id="rId45" xr:uid="{DEE14EDA-3A86-48BF-A90C-C9F877CD35FE}"/>
    <hyperlink ref="F116" r:id="rId46" xr:uid="{68185A60-F5D0-49B3-A5EC-423D21AC2007}"/>
    <hyperlink ref="F122" r:id="rId47" xr:uid="{24E4A1F1-F5EE-4142-A628-552DF253559E}"/>
    <hyperlink ref="F125" r:id="rId48" xr:uid="{419B072F-2A71-427A-8511-E911DAF28DD7}"/>
    <hyperlink ref="F124" r:id="rId49" xr:uid="{B93D5E91-2959-4BDF-B626-9B3C6F9042E3}"/>
    <hyperlink ref="F126" r:id="rId50" xr:uid="{3AA089E2-3E0E-4693-9903-60A5A001B103}"/>
    <hyperlink ref="F137" r:id="rId51" xr:uid="{87732D99-B749-43F8-BDE7-FC106CA07CF8}"/>
    <hyperlink ref="F138" r:id="rId52" xr:uid="{FC689C5A-BDEA-4808-8A97-F7B0B28C31EB}"/>
    <hyperlink ref="F139" r:id="rId53" xr:uid="{D05C6D5C-00B8-4D80-B8FB-A900146D93E1}"/>
    <hyperlink ref="F140" r:id="rId54" xr:uid="{551B4426-E1E0-43C4-8DAC-5948E2888EB1}"/>
    <hyperlink ref="F141" r:id="rId55" xr:uid="{92C14F4A-A5B1-4338-9801-23C126FA3E9C}"/>
    <hyperlink ref="F142" r:id="rId56" xr:uid="{0E574DDD-345A-44D0-865B-0D5104620825}"/>
    <hyperlink ref="F148" r:id="rId57" xr:uid="{555BB1F1-6921-4BBF-A3C1-DF3A69819E1F}"/>
    <hyperlink ref="F151" r:id="rId58" xr:uid="{29590BA1-3CB5-4D8F-A9C1-C0F8B88E6C20}"/>
    <hyperlink ref="F152" r:id="rId59" xr:uid="{AF5738C0-2C53-4D5E-BDCF-38B5DF4F7134}"/>
    <hyperlink ref="F157" r:id="rId60" xr:uid="{4BA46DF7-AE35-4E62-B41F-8E633F057A9A}"/>
    <hyperlink ref="F162" r:id="rId61" xr:uid="{DF630741-5347-4C4B-9C1A-34AB0B55FAB0}"/>
    <hyperlink ref="F163" r:id="rId62" xr:uid="{52017FD8-4913-4C76-84FB-21BAFCD9288A}"/>
    <hyperlink ref="F164" r:id="rId63" xr:uid="{DBEE5566-25B3-4F5D-90DB-BA92C820C8E9}"/>
    <hyperlink ref="F168" r:id="rId64" xr:uid="{43D957EA-1220-4546-81AA-6EA0068891D1}"/>
    <hyperlink ref="F169" r:id="rId65" xr:uid="{7D1F69E7-F80A-4033-A995-CFFAB7E6F3AA}"/>
    <hyperlink ref="F170" r:id="rId66" xr:uid="{1B49C331-115C-46C8-96EA-88842B37909B}"/>
    <hyperlink ref="F174" r:id="rId67" xr:uid="{8D1656FB-2390-452F-9A98-C57CD66A9527}"/>
    <hyperlink ref="F175" r:id="rId68" xr:uid="{87F70932-053A-4078-A2BB-0C916D89F0B6}"/>
    <hyperlink ref="F176" r:id="rId69" xr:uid="{2E536698-8412-4A34-B6BE-0E9D942DE08A}"/>
    <hyperlink ref="F177" r:id="rId70" xr:uid="{C7A97165-6B18-4AAE-8880-54BA736B7FBB}"/>
    <hyperlink ref="F179" r:id="rId71" xr:uid="{0ADDB00F-0E69-42F1-A4C3-523460E97CF9}"/>
    <hyperlink ref="F181" r:id="rId72" xr:uid="{04A97764-C901-4BFF-B0C0-CA7A4FB23F12}"/>
    <hyperlink ref="F182" r:id="rId73" xr:uid="{EEAD67A7-F127-4695-AC27-5E64955952C4}"/>
    <hyperlink ref="F185" r:id="rId74" xr:uid="{604C72FF-CA76-4346-BBD2-8B254124A21A}"/>
    <hyperlink ref="F187" r:id="rId75" xr:uid="{769F7894-B4C7-495E-91B8-D1C7B99BB9E8}"/>
    <hyperlink ref="F193" r:id="rId76" xr:uid="{CBBB0CE0-21E7-450D-A780-B3B522F44A28}"/>
    <hyperlink ref="F205" r:id="rId77" xr:uid="{062006D4-AE93-4260-BFBC-B0AE1882E9E4}"/>
    <hyperlink ref="F213" r:id="rId78" xr:uid="{D3B8250E-417A-4C93-8528-85C67429E67D}"/>
    <hyperlink ref="F223" r:id="rId79" xr:uid="{0DA1AC25-F430-4455-A205-6DE7A95F8B36}"/>
    <hyperlink ref="F222" r:id="rId80" xr:uid="{899E51D5-08F2-4951-8381-783E45598A7C}"/>
    <hyperlink ref="F226" r:id="rId81" xr:uid="{ABAFAB82-84B1-4E42-81FC-C18D41781682}"/>
    <hyperlink ref="F227" r:id="rId82" xr:uid="{B6A85E32-F71B-47DF-931E-B36AAC6DDC3C}"/>
    <hyperlink ref="F229" r:id="rId83" xr:uid="{683025DB-DF40-44F8-8FC6-631B454B394C}"/>
    <hyperlink ref="F233" r:id="rId84" xr:uid="{35BC5032-5A6C-457E-B395-CC22883B245B}"/>
    <hyperlink ref="F240" r:id="rId85" xr:uid="{965DC3FC-7483-43A0-8519-B6B1CFE9540A}"/>
    <hyperlink ref="F241" r:id="rId86" xr:uid="{A37E6543-1D3E-4781-AB91-22511575D05B}"/>
    <hyperlink ref="F242" r:id="rId87" xr:uid="{5FFC4DAB-F374-41E9-8B47-2EF464C2C536}"/>
    <hyperlink ref="F244" r:id="rId88" xr:uid="{21768D99-C089-4DC1-A53E-266E758687C5}"/>
    <hyperlink ref="F245" r:id="rId89" xr:uid="{12D9319F-5A87-4ACB-8631-89B7EB5B7871}"/>
    <hyperlink ref="F247" r:id="rId90" xr:uid="{3D734675-475D-49CB-AC3A-1AA184658D00}"/>
    <hyperlink ref="F248" r:id="rId91" xr:uid="{601F76B0-2BDD-4217-83A4-E1D708C84C54}"/>
    <hyperlink ref="F249" r:id="rId92" xr:uid="{0A1BA194-5A1D-4A17-AE7B-F1DBD179498A}"/>
    <hyperlink ref="F252" r:id="rId93" xr:uid="{8A58FF55-8B70-4BE0-A7D2-84512CFF69EB}"/>
    <hyperlink ref="F257" r:id="rId94" xr:uid="{565102C8-B4B3-4CA9-A13D-AA08F0B1F501}"/>
    <hyperlink ref="F260" r:id="rId95" xr:uid="{888081FC-B79F-4537-A612-589B4AA24A5F}"/>
    <hyperlink ref="F264" r:id="rId96" xr:uid="{B89A7894-A653-457E-B297-66EEF7E78CCD}"/>
    <hyperlink ref="F265" r:id="rId97" xr:uid="{C1F38060-8982-4B83-89B9-3ACB71AAE7E9}"/>
    <hyperlink ref="F266" r:id="rId98" xr:uid="{90A2D3D4-11E9-4E70-9F26-57374F26E828}"/>
    <hyperlink ref="F267" r:id="rId99" xr:uid="{CE2AC91D-F72D-498F-8D0D-E22DF8700BFD}"/>
    <hyperlink ref="F268" r:id="rId100" xr:uid="{E35AF51A-834D-4EFC-823F-4026E999DF7A}"/>
    <hyperlink ref="F269" r:id="rId101" xr:uid="{558DB0B2-17D5-4A39-AAB8-814B18D28642}"/>
    <hyperlink ref="F273" r:id="rId102" xr:uid="{A613562F-CFC5-4214-AF12-2CFDD342953A}"/>
    <hyperlink ref="F274" r:id="rId103" xr:uid="{CBD79827-526D-4DFF-97E6-5306C293752C}"/>
    <hyperlink ref="F277" r:id="rId104" xr:uid="{09E53517-D130-471F-B71B-653DFA8A8955}"/>
    <hyperlink ref="F276" r:id="rId105" xr:uid="{30A1C381-1EDC-4BFC-804E-FBB45AC51FEF}"/>
    <hyperlink ref="F278" r:id="rId106" xr:uid="{A26AA755-950A-4B52-9312-83FA946F9EA2}"/>
    <hyperlink ref="F280" r:id="rId107" xr:uid="{05C39E49-F52C-40AB-B184-32A8BEA8FA7A}"/>
    <hyperlink ref="F286" r:id="rId108" xr:uid="{6FCC01F3-1F01-4694-8770-C3C00E5E496C}"/>
    <hyperlink ref="F288" r:id="rId109" xr:uid="{ACDA379B-D785-41F9-A567-FACF7027F155}"/>
    <hyperlink ref="F289" r:id="rId110" xr:uid="{55184FCA-C9E5-4C87-B518-47BB97CC674F}"/>
    <hyperlink ref="F292" r:id="rId111" xr:uid="{183A293E-7539-47D2-9CDE-B3563DB11191}"/>
    <hyperlink ref="F293" r:id="rId112" xr:uid="{A37CFD74-5F70-453B-9C1A-31C32E66D91A}"/>
    <hyperlink ref="F294" r:id="rId113" xr:uid="{1A424E49-407B-4819-9BAE-BD7020E136C8}"/>
    <hyperlink ref="F295" r:id="rId114" xr:uid="{16772841-91B4-4063-B41A-59B960FDEFC4}"/>
    <hyperlink ref="F296" r:id="rId115" xr:uid="{F8E811E4-C56E-4020-8515-CA14E5BC6E3C}"/>
    <hyperlink ref="F299" r:id="rId116" xr:uid="{8169F733-8E2D-4AC1-9A4F-A49A54D41A52}"/>
    <hyperlink ref="F302" r:id="rId117" xr:uid="{0CE762D6-744B-40A7-8F98-8AF1053C4C20}"/>
    <hyperlink ref="F306" r:id="rId118" xr:uid="{091067F1-8D60-40C3-B79B-EDA05B5A7DA4}"/>
    <hyperlink ref="F307" r:id="rId119" xr:uid="{AC3C0A2F-C850-4DC8-B816-62B521573541}"/>
    <hyperlink ref="F308" r:id="rId120" xr:uid="{BD4C4423-9801-48B9-BE4A-6FA8B9B411A4}"/>
    <hyperlink ref="F309" r:id="rId121" xr:uid="{03558391-13D5-417E-8518-5A118844CD95}"/>
    <hyperlink ref="F312" r:id="rId122" xr:uid="{2005E731-59D7-4620-B28C-434266F6022D}"/>
    <hyperlink ref="F313" r:id="rId123" xr:uid="{2FD5242C-CF0A-4A63-816A-EA2A83984E64}"/>
    <hyperlink ref="F314" r:id="rId124" xr:uid="{3123CD08-C684-4CC9-AB12-F9105EA97288}"/>
    <hyperlink ref="F315" r:id="rId125" xr:uid="{2213C59C-4A61-40A9-A06B-1FEF17A027B0}"/>
    <hyperlink ref="F316" r:id="rId126" xr:uid="{68B28FC2-AA1F-41B6-9A23-516E9B83B6E0}"/>
    <hyperlink ref="F318" r:id="rId127" xr:uid="{B5599032-4454-4E2C-A68F-8CFFE50F4FDA}"/>
    <hyperlink ref="F319" r:id="rId128" xr:uid="{A0B5737A-A70A-4218-B2E1-A76C8720DB56}"/>
    <hyperlink ref="F320" r:id="rId129" xr:uid="{D4B5840E-77B4-47E2-8436-CD2E572AF2B8}"/>
    <hyperlink ref="F321" r:id="rId130" xr:uid="{BD67BD55-40E9-45BF-A3F6-8F5115DDB229}"/>
    <hyperlink ref="F322" r:id="rId131" xr:uid="{006FB328-F8E9-4758-AE01-3843E2E75398}"/>
    <hyperlink ref="F324" r:id="rId132" xr:uid="{D8274070-5E6A-448F-BE2B-E62287C27B7F}"/>
    <hyperlink ref="F325" r:id="rId133" xr:uid="{3107A474-1B13-410C-98D5-4BDFF1B318A0}"/>
    <hyperlink ref="F329" r:id="rId134" xr:uid="{AEE59407-C7BF-4741-8788-B6DE8B5B56F0}"/>
    <hyperlink ref="F331" r:id="rId135" xr:uid="{9E43F2AF-CA8D-45AD-8AF2-43E79516D8C4}"/>
    <hyperlink ref="F334" r:id="rId136" xr:uid="{527DB674-2191-4390-A5E3-AF104DB8B4DD}"/>
    <hyperlink ref="F339" r:id="rId137" xr:uid="{6CBC3A1F-EFB9-4C79-8568-CA7B9F4AE2C5}"/>
    <hyperlink ref="F349" r:id="rId138" xr:uid="{15A14E1E-9440-4524-8E71-E2F0B928B953}"/>
    <hyperlink ref="F351" r:id="rId139" xr:uid="{C92EA61B-8F06-42A1-A7F9-7F45453FF60F}"/>
    <hyperlink ref="F355" r:id="rId140" xr:uid="{8A245E57-176A-4426-987A-230A824E21F5}"/>
    <hyperlink ref="F362" r:id="rId141" xr:uid="{E66A3719-554E-4E28-86A4-324883D73CAE}"/>
    <hyperlink ref="F366" r:id="rId142" xr:uid="{7BDE2C38-EC1A-4C17-B1C6-1E4D17FC0EE5}"/>
    <hyperlink ref="F367" r:id="rId143" xr:uid="{00F24AF7-BECF-42F0-AB31-2C0DED0C37A2}"/>
    <hyperlink ref="F368" r:id="rId144" xr:uid="{5852A063-4D20-4FBB-B346-BF786AFC86EC}"/>
    <hyperlink ref="F369" r:id="rId145" xr:uid="{B67214DC-0A47-4AD1-BF86-5DC069815DE1}"/>
    <hyperlink ref="F374" r:id="rId146" xr:uid="{8299AD99-FFD7-4B97-A788-030B31407DDD}"/>
    <hyperlink ref="F376" r:id="rId147" xr:uid="{78971510-8CDC-4BF5-AE19-0D07D647D047}"/>
    <hyperlink ref="F378" r:id="rId148" xr:uid="{A0C94A52-B22E-4392-9DAE-3EA37FFA5A46}"/>
    <hyperlink ref="F379" r:id="rId149" xr:uid="{3B87B23F-40F6-462E-9110-A5A9A19D2232}"/>
    <hyperlink ref="F380" r:id="rId150" xr:uid="{292120C3-4914-44B9-9098-59807C6E7C6C}"/>
    <hyperlink ref="F381" r:id="rId151" xr:uid="{5B5091B4-FEAA-4CAD-8FAF-43B120B259B8}"/>
    <hyperlink ref="F382" r:id="rId152" xr:uid="{B4A8D738-F438-4B79-8C25-2D43D085BC71}"/>
    <hyperlink ref="F383" r:id="rId153" xr:uid="{9C2371F9-4C06-48FC-AD5B-9E5916618520}"/>
    <hyperlink ref="F389" r:id="rId154" xr:uid="{2C42E22B-0DD1-40FA-8493-10406BA7A1D9}"/>
    <hyperlink ref="F390" r:id="rId155" xr:uid="{70286227-A588-43E1-91FC-1EB348F42574}"/>
    <hyperlink ref="F392" r:id="rId156" xr:uid="{D1A39FB3-D165-4B56-88B9-CFB02C80378B}"/>
    <hyperlink ref="F396" r:id="rId157" xr:uid="{86B3426F-8CFE-45AB-9DE6-873C49E7DB80}"/>
    <hyperlink ref="F397" r:id="rId158" xr:uid="{6F07A94A-75BF-4D0C-A155-1F147D55686D}"/>
    <hyperlink ref="F398" r:id="rId159" xr:uid="{925770DF-4D55-4F2C-B57F-546C6CF49F83}"/>
    <hyperlink ref="F402" r:id="rId160" xr:uid="{86833F34-D3B8-49A2-B048-9143D1D268E1}"/>
    <hyperlink ref="F403" r:id="rId161" xr:uid="{DC475E94-CED6-4041-A19D-421EDEC91083}"/>
    <hyperlink ref="F404" r:id="rId162" xr:uid="{8CE58332-34FE-45F0-B53E-D28E50ECC3F5}"/>
    <hyperlink ref="F405" r:id="rId163" xr:uid="{DD0386C7-D589-4779-A82D-1F72C4B6FBDD}"/>
    <hyperlink ref="F406" r:id="rId164" xr:uid="{BC460B10-00B8-4916-B3EF-7D1ED959A78B}"/>
    <hyperlink ref="F407" r:id="rId165" xr:uid="{40729791-C768-4D88-821E-9253252FB0F3}"/>
    <hyperlink ref="F410" r:id="rId166" xr:uid="{BCA7C023-C424-401D-88B3-107FB2ACBF81}"/>
    <hyperlink ref="F415" r:id="rId167" xr:uid="{43A41B2A-DEFE-495E-997D-ED085CF2FC91}"/>
    <hyperlink ref="F416" r:id="rId168" xr:uid="{B12F044C-CB46-4CCB-89F1-EB0C8F7EB892}"/>
    <hyperlink ref="F422" r:id="rId169" xr:uid="{28D016CB-3B77-415C-8166-D13FE68341D1}"/>
    <hyperlink ref="F423" r:id="rId170" xr:uid="{CD429C9A-749F-491E-9E58-B9CB7A90A2FB}"/>
    <hyperlink ref="F428" r:id="rId171" xr:uid="{5CC5C5A2-EE60-4284-8128-2E87C488D632}"/>
    <hyperlink ref="F431" r:id="rId172" xr:uid="{C2BD70BB-F593-4AF0-B6A4-B32D5304C625}"/>
    <hyperlink ref="F435" r:id="rId173" xr:uid="{F6E6F0EA-9817-4AA3-BC4A-B1ED8E6931ED}"/>
    <hyperlink ref="F438" r:id="rId174" xr:uid="{5EB5671F-FF63-475A-9238-21AD45B4C5EE}"/>
    <hyperlink ref="F441" r:id="rId175" xr:uid="{B97349D3-8379-49CF-AB1C-503D2A28FCDC}"/>
    <hyperlink ref="F448" r:id="rId176" xr:uid="{DCBAF156-741D-4CDD-A1BB-BEE3DCAFC7E4}"/>
    <hyperlink ref="F455" r:id="rId177" xr:uid="{8B8F94DD-ABB2-4320-920C-216E8ECE661F}"/>
    <hyperlink ref="F340" r:id="rId178" xr:uid="{A1876CDA-D2D9-4ACE-9E52-75F2A87E4D4F}"/>
    <hyperlink ref="F459" r:id="rId179" xr:uid="{21AFB719-500D-49EA-9A94-E1F0F8DEAF1D}"/>
    <hyperlink ref="F462" r:id="rId180" xr:uid="{9FB30793-74F5-4EE1-997B-A29276854B0F}"/>
    <hyperlink ref="F463" r:id="rId181" xr:uid="{F7D721C1-6EE7-431C-825B-C14B050040BE}"/>
    <hyperlink ref="F464" r:id="rId182" xr:uid="{E82C3262-E183-4FD0-A624-6B9CBBA13E22}"/>
    <hyperlink ref="F467" r:id="rId183" xr:uid="{2F3A224E-996D-44F2-BB99-EC5746F0E81D}"/>
    <hyperlink ref="F470" r:id="rId184" xr:uid="{66281EB3-1C84-4327-8A41-AC8CB05AAABD}"/>
    <hyperlink ref="F474" r:id="rId185" xr:uid="{9BE712DE-053D-4691-8A07-B0D3C3304A32}"/>
    <hyperlink ref="F475" r:id="rId186" xr:uid="{97572BBD-E6D2-4CFC-B983-6629083AAA30}"/>
    <hyperlink ref="F480" r:id="rId187" xr:uid="{F9FBA57F-7D2B-4679-A566-A492ECEF9035}"/>
    <hyperlink ref="F484" r:id="rId188" xr:uid="{5942006B-880C-4C23-9ED8-EE6DF160CAFC}"/>
    <hyperlink ref="F485" r:id="rId189" xr:uid="{93B54EDE-1866-4706-A5FE-E39688316329}"/>
    <hyperlink ref="F491" r:id="rId190" xr:uid="{D1F916D6-B062-4FD4-9C02-9546DAF97B5D}"/>
    <hyperlink ref="F499" r:id="rId191" xr:uid="{82BB8238-8B3C-44CF-B8DB-8B220659D0F1}"/>
    <hyperlink ref="F502" r:id="rId192" xr:uid="{BC41CEBA-AAE5-49A0-8216-3B4403811C0B}"/>
    <hyperlink ref="F506" r:id="rId193" xr:uid="{3ED9D9C9-88BD-4D38-8C17-2147C43DCA41}"/>
    <hyperlink ref="F507" r:id="rId194" xr:uid="{8EE4BBCE-100C-422D-A8AE-E1855B7531DD}"/>
    <hyperlink ref="F508" r:id="rId195" xr:uid="{7393F241-1EE0-4975-B705-3BB32A866045}"/>
    <hyperlink ref="F63" r:id="rId196" xr:uid="{C3D2727A-54A4-4ABC-BE29-C663282CB00F}"/>
    <hyperlink ref="F65" r:id="rId197" xr:uid="{290EDB11-A937-4642-B4C4-762CABC87A86}"/>
    <hyperlink ref="F92" r:id="rId198" xr:uid="{7BD3346D-C133-4F85-BA8B-06E893A5AA15}"/>
    <hyperlink ref="F236" r:id="rId199" xr:uid="{A89FDFBB-71B2-4738-9E20-379D288195B3}"/>
    <hyperlink ref="F237" r:id="rId200" xr:uid="{71BBAFA0-9838-4AE0-B1A3-8148C5047B22}"/>
    <hyperlink ref="F430" r:id="rId201" xr:uid="{CE9B73F7-6206-43BE-A0D7-238A375EF8C2}"/>
    <hyperlink ref="F303" r:id="rId202" xr:uid="{95974537-849E-47AD-A8B3-2D3E2FBBC6C7}"/>
  </hyperlinks>
  <pageMargins left="0.23622047244094491" right="0.23622047244094491" top="0.15748031496062992" bottom="0.15748031496062992" header="0.31496062992125984" footer="0.31496062992125984"/>
  <pageSetup paperSize="9" scale="45" fitToHeight="0" orientation="portrait" r:id="rId203"/>
  <headerFooter>
    <oddHeader xml:space="preserve">&amp;C&amp;8EC_Not_technical&amp;8
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EB7F1-BB9A-4297-BCE2-8D99EAA662AA}">
  <dimension ref="A3:F3"/>
  <sheetViews>
    <sheetView workbookViewId="0">
      <selection activeCell="A3" sqref="A3:F3"/>
    </sheetView>
  </sheetViews>
  <sheetFormatPr baseColWidth="10" defaultRowHeight="15" x14ac:dyDescent="0.25"/>
  <sheetData>
    <row r="3" spans="1:6" x14ac:dyDescent="0.25">
      <c r="A3" s="2" t="s">
        <v>279</v>
      </c>
      <c r="B3" s="21"/>
      <c r="C3" s="3"/>
      <c r="D3" s="14" t="s">
        <v>690</v>
      </c>
      <c r="E3" s="31"/>
      <c r="F3" s="45" t="s">
        <v>691</v>
      </c>
    </row>
  </sheetData>
  <hyperlinks>
    <hyperlink ref="F3" r:id="rId1" xr:uid="{66FA5EAD-8E35-482C-AB1D-66A8C86055A3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37f82196-c04d-4c4b-a3b6-253b9b83ee9f</TitusGUID>
  <TitusMetadata xmlns="">eyJucyI6Imh0dHA6XC9cL3d3dy50aXR1cy5jb21cL25zXC9BaXJidXNIZWxpY29wdGVycyIsInByb3BzIjpbeyJuIjoiRFAiLCJ2YWxzIjpbeyJ2YWx1ZSI6Ik5CUEQifV19LHsibiI6IkVDMSIsInZhbHMiOlt7InZhbHVlIjoiTlQifV19LHsibiI6IlRDMSIsInZhbHMiOltdfSx7Im4iOiJSQzEiLCJ2YWxzIjpbXX0seyJuIjoiUk4xIiwidmFscyI6W119LHsibiI6IkRWUERFQ29tbW9uRUMiLCJ2YWxzIjpbXX0seyJuIjoiRFZQRVNDb21tb25FQyIsInZhbHMiOltdfSx7Im4iOiJEVlBHQkNvbW1vbkVDIiwidmFscyI6W119LHsibiI6IkRWUE1MQU1BRFUiLCJ2YWxzIjpbXX0seyJuIjoiRFZQQ0NDb21tb25FQyIsInZhbHMiOltdfSx7Im4iOiJEVlBGRU9yZGVyRUMiLCJ2YWxzIjpbXX0seyJuIjoiTEFOMSIsInZhbHMiOltdfSx7Im4iOiJFQzIiLCJ2YWxzIjpbeyJ2YWx1ZSI6Ik5UIn1dfSx7Im4iOiJSQzIiLCJ2YWxzIjpbXX0seyJuIjoiVVNDIiwidmFscyI6W119LHsibiI6IlRDMiIsInZhbHMiOltdfSx7Im4iOiJSTjIiLCJ2YWxzIjpbXX0seyJuIjoiRFZQRUFSIiwidmFscyI6W119LHsibiI6IkRWUElUQVIiLCJ2YWxzIjpbXX0seyJuIjoiUk5FQVI5OSIsInZhbHMiOltdfSx7Im4iOiJDUiIsInZhbHMiOltdfSx7Im4iOiJMQU4yIiwidmFscyI6W119LHsibiI6Ik5TSiIsInZhbHMiOlt7InZhbHVlIjoiTkEifV19LHsibiI6Ik5TIiwidmFscyI6W119LHsibiI6IkNDIiwidmFscyI6W3sidmFsdWUiOiJOQSJ9XX0seyJuIjoiQ0NDIiwidmFscyI6W119LHsibiI6IkJQRCIsInZhbHMiOlt7InZhbHVlIjoiUCJ9XX0seyJuIjoiVk0iLCJ2YWxzIjpbeyJ2YWx1ZSI6IlkifV19LHsibiI6IlZNUiIsInZhbHMiOlt7InZhbHVlIjoiRUMifSx7InZhbHVlIjoiTlMifSx7InZhbHVlIjoiQ0MifV19XX0=</TitusMetadata>
</titus>
</file>

<file path=customXml/itemProps1.xml><?xml version="1.0" encoding="utf-8"?>
<ds:datastoreItem xmlns:ds="http://schemas.openxmlformats.org/officeDocument/2006/customXml" ds:itemID="{15DFA88F-F28D-41D2-B775-FCA90190604A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dudu1</dc:creator>
  <cp:lastModifiedBy>PHILIPPE</cp:lastModifiedBy>
  <cp:lastPrinted>2026-05-04T10:27:45Z</cp:lastPrinted>
  <dcterms:created xsi:type="dcterms:W3CDTF">2023-04-10T08:07:41Z</dcterms:created>
  <dcterms:modified xsi:type="dcterms:W3CDTF">2026-10-11T14:20:20Z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37f82196-c04d-4c4b-a3b6-253b9b83ee9f</vt:lpwstr>
  </property>
  <property fmtid="{D5CDD505-2E9C-101B-9397-08002B2CF9AE}" pid="3" name="ClassificationUserID">
    <vt:lpwstr>A44967</vt:lpwstr>
  </property>
  <property fmtid="{D5CDD505-2E9C-101B-9397-08002B2CF9AE}" pid="4" name="ClassificationUTCDatestamp">
    <vt:lpwstr>2025-04-11T12:18:24.7317284Z</vt:lpwstr>
  </property>
  <property fmtid="{D5CDD505-2E9C-101B-9397-08002B2CF9AE}" pid="5" name="Taxonomy Reference">
    <vt:lpwstr>AH v3.6 -  M1943_Appendix C_4</vt:lpwstr>
  </property>
  <property fmtid="{D5CDD505-2E9C-101B-9397-08002B2CF9AE}" pid="6" name="e-tag">
    <vt:lpwstr>XXPCA|||||XXCCA</vt:lpwstr>
  </property>
  <property fmtid="{D5CDD505-2E9C-101B-9397-08002B2CF9AE}" pid="7" name="DataSensitivity">
    <vt:lpwstr>Not or Basic Personal Data|||||Not Applicable</vt:lpwstr>
  </property>
  <property fmtid="{D5CDD505-2E9C-101B-9397-08002B2CF9AE}" pid="8" name="TVM">
    <vt:lpwstr>Y</vt:lpwstr>
  </property>
  <property fmtid="{D5CDD505-2E9C-101B-9397-08002B2CF9AE}" pid="9" name="TempHistorization">
    <vt:lpwstr>,|||||||||||A44967|2025-04-11T12:18:25.1476626Z</vt:lpwstr>
  </property>
  <property fmtid="{D5CDD505-2E9C-101B-9397-08002B2CF9AE}" pid="10" name="Historization">
    <vt:lpwstr>EC_Rationale|EC_National_Country|EC_EX_Country|EC_NationalRegulationTag|EC_EXRegulationTagEAR|EC_EXRegulationTagITAR|DECommonECClassificationCode|ESCommonECClassificationCode|FRMLAMADUClassificationCode|GBCommonECClassificationCode|ECCClassificationCode1|</vt:lpwstr>
  </property>
  <property fmtid="{D5CDD505-2E9C-101B-9397-08002B2CF9AE}" pid="11" name="DP">
    <vt:lpwstr>NBPD</vt:lpwstr>
  </property>
  <property fmtid="{D5CDD505-2E9C-101B-9397-08002B2CF9AE}" pid="12" name="EC1">
    <vt:lpwstr>NT</vt:lpwstr>
  </property>
  <property fmtid="{D5CDD505-2E9C-101B-9397-08002B2CF9AE}" pid="13" name="EC2">
    <vt:lpwstr>NT</vt:lpwstr>
  </property>
  <property fmtid="{D5CDD505-2E9C-101B-9397-08002B2CF9AE}" pid="14" name="NSJ">
    <vt:lpwstr>NA</vt:lpwstr>
  </property>
  <property fmtid="{D5CDD505-2E9C-101B-9397-08002B2CF9AE}" pid="15" name="CC">
    <vt:lpwstr>NA</vt:lpwstr>
  </property>
  <property fmtid="{D5CDD505-2E9C-101B-9397-08002B2CF9AE}" pid="16" name="BPD">
    <vt:lpwstr>P</vt:lpwstr>
  </property>
  <property fmtid="{D5CDD505-2E9C-101B-9397-08002B2CF9AE}" pid="17" name="VM">
    <vt:lpwstr>Y</vt:lpwstr>
  </property>
  <property fmtid="{D5CDD505-2E9C-101B-9397-08002B2CF9AE}" pid="18" name="VMR">
    <vt:lpwstr>EC;NS;CC</vt:lpwstr>
  </property>
</Properties>
</file>